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uzhe/Downloads/"/>
    </mc:Choice>
  </mc:AlternateContent>
  <xr:revisionPtr revIDLastSave="0" documentId="13_ncr:1_{4AF08457-9127-5E47-BB8A-7064361CFF18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说明与指标对照" sheetId="1" r:id="rId1"/>
    <sheet name="参与者记录" sheetId="2" r:id="rId2"/>
    <sheet name="同步记录" sheetId="3" r:id="rId3"/>
    <sheet name="分段记录(A_B核心)" sheetId="4" r:id="rId4"/>
    <sheet name="迭代收敛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4" i="4" l="1"/>
  <c r="V13" i="4"/>
  <c r="W11" i="4"/>
  <c r="V11" i="4"/>
  <c r="X11" i="4" s="1"/>
  <c r="W10" i="4"/>
  <c r="V10" i="4"/>
  <c r="X10" i="4" s="1"/>
  <c r="W9" i="4"/>
  <c r="V9" i="4"/>
  <c r="X9" i="4" s="1"/>
  <c r="W8" i="4"/>
  <c r="V8" i="4"/>
  <c r="X8" i="4" s="1"/>
  <c r="W7" i="4"/>
  <c r="V7" i="4"/>
  <c r="X7" i="4" s="1"/>
  <c r="W6" i="4"/>
  <c r="V6" i="4"/>
  <c r="X6" i="4" s="1"/>
  <c r="W5" i="4"/>
  <c r="V5" i="4"/>
  <c r="X5" i="4" s="1"/>
  <c r="W4" i="4"/>
  <c r="V4" i="4"/>
  <c r="X4" i="4" s="1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M5" i="3" l="1"/>
  <c r="M6" i="3"/>
  <c r="M7" i="3"/>
</calcChain>
</file>

<file path=xl/sharedStrings.xml><?xml version="1.0" encoding="utf-8"?>
<sst xmlns="http://schemas.openxmlformats.org/spreadsheetml/2006/main" count="166" uniqueCount="137">
  <si>
    <r>
      <rPr>
        <b/>
        <sz val="14"/>
        <rFont val="Arial"/>
        <family val="2"/>
      </rPr>
      <t xml:space="preserve">SOMATIC CITY — Pilot </t>
    </r>
    <r>
      <rPr>
        <b/>
        <sz val="14"/>
        <rFont val="Noto Sans CJK SC"/>
        <family val="2"/>
      </rPr>
      <t>记录表（按区段版）</t>
    </r>
  </si>
  <si>
    <t>对应评审意见</t>
  </si>
  <si>
    <r>
      <rPr>
        <b/>
        <sz val="10"/>
        <rFont val="Arial"/>
        <family val="2"/>
      </rPr>
      <t>R1</t>
    </r>
    <r>
      <rPr>
        <b/>
        <sz val="10"/>
        <rFont val="Noto Sans CJK SC"/>
        <family val="2"/>
      </rPr>
      <t>「多少人</t>
    </r>
    <r>
      <rPr>
        <b/>
        <sz val="10"/>
        <rFont val="Arial"/>
        <family val="2"/>
      </rPr>
      <t>?</t>
    </r>
    <r>
      <rPr>
        <b/>
        <sz val="10"/>
        <rFont val="Noto Sans CJK SC"/>
        <family val="2"/>
      </rPr>
      <t>」</t>
    </r>
  </si>
  <si>
    <r>
      <rPr>
        <sz val="10"/>
        <rFont val="Noto Sans CJK SC"/>
        <family val="2"/>
      </rPr>
      <t xml:space="preserve">→ 目标 </t>
    </r>
    <r>
      <rPr>
        <sz val="10"/>
        <rFont val="Arial"/>
        <family val="2"/>
      </rPr>
      <t>N=10–12</t>
    </r>
    <r>
      <rPr>
        <sz val="10"/>
        <rFont val="Noto Sans CJK SC"/>
        <family val="2"/>
      </rPr>
      <t xml:space="preserve">（分批），记在「参与者记录」。定位为可行性 </t>
    </r>
    <r>
      <rPr>
        <sz val="10"/>
        <rFont val="Arial"/>
        <family val="2"/>
      </rPr>
      <t>pilot</t>
    </r>
    <r>
      <rPr>
        <sz val="10"/>
        <rFont val="Noto Sans CJK SC"/>
        <family val="2"/>
      </rPr>
      <t>。</t>
    </r>
  </si>
  <si>
    <r>
      <rPr>
        <b/>
        <sz val="10"/>
        <rFont val="Arial"/>
        <family val="2"/>
      </rPr>
      <t>R1</t>
    </r>
    <r>
      <rPr>
        <b/>
        <sz val="10"/>
        <rFont val="Noto Sans CJK SC"/>
        <family val="2"/>
      </rPr>
      <t>「信号观察到什么</t>
    </r>
    <r>
      <rPr>
        <b/>
        <sz val="10"/>
        <rFont val="Arial"/>
        <family val="2"/>
      </rPr>
      <t>?</t>
    </r>
    <r>
      <rPr>
        <b/>
        <sz val="10"/>
        <rFont val="Noto Sans CJK SC"/>
        <family val="2"/>
      </rPr>
      <t>」</t>
    </r>
  </si>
  <si>
    <r>
      <rPr>
        <sz val="10"/>
        <rFont val="Noto Sans CJK SC"/>
        <family val="2"/>
      </rPr>
      <t>→ 不报城市结论。报信号成功率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有效</t>
    </r>
    <r>
      <rPr>
        <sz val="10"/>
        <rFont val="Arial"/>
        <family val="2"/>
      </rPr>
      <t>%/</t>
    </r>
    <r>
      <rPr>
        <sz val="10"/>
        <rFont val="Noto Sans CJK SC"/>
        <family val="2"/>
      </rPr>
      <t>伪迹</t>
    </r>
    <r>
      <rPr>
        <sz val="10"/>
        <rFont val="Arial"/>
        <family val="2"/>
      </rPr>
      <t>%</t>
    </r>
    <r>
      <rPr>
        <sz val="10"/>
        <rFont val="Noto Sans CJK SC"/>
        <family val="2"/>
      </rPr>
      <t xml:space="preserve">（参与者记录），以及 </t>
    </r>
    <r>
      <rPr>
        <sz val="10"/>
        <rFont val="Arial"/>
        <family val="2"/>
      </rPr>
      <t xml:space="preserve">A </t>
    </r>
    <r>
      <rPr>
        <sz val="10"/>
        <rFont val="Noto Sans CJK SC"/>
        <family val="2"/>
      </rPr>
      <t xml:space="preserve">段 </t>
    </r>
    <r>
      <rPr>
        <sz val="10"/>
        <rFont val="Arial"/>
        <family val="2"/>
      </rPr>
      <t xml:space="preserve">vs B </t>
    </r>
    <r>
      <rPr>
        <sz val="10"/>
        <rFont val="Noto Sans CJK SC"/>
        <family val="2"/>
      </rPr>
      <t>段的唤醒差（分段记录自动汇总）。</t>
    </r>
  </si>
  <si>
    <r>
      <rPr>
        <b/>
        <sz val="10"/>
        <rFont val="Arial"/>
        <family val="2"/>
      </rPr>
      <t>R1</t>
    </r>
    <r>
      <rPr>
        <b/>
        <sz val="10"/>
        <rFont val="Noto Sans CJK SC"/>
        <family val="2"/>
      </rPr>
      <t xml:space="preserve">「哪些指标支撑 </t>
    </r>
    <r>
      <rPr>
        <b/>
        <sz val="10"/>
        <rFont val="Arial"/>
        <family val="2"/>
      </rPr>
      <t>stability/rigor/reproducibility?</t>
    </r>
    <r>
      <rPr>
        <b/>
        <sz val="10"/>
        <rFont val="Noto Sans CJK SC"/>
        <family val="2"/>
      </rPr>
      <t>」</t>
    </r>
  </si>
  <si>
    <r>
      <rPr>
        <sz val="10"/>
        <rFont val="Noto Sans CJK SC"/>
        <family val="2"/>
      </rPr>
      <t>→ 同步误差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同步记录</t>
    </r>
    <r>
      <rPr>
        <sz val="10"/>
        <rFont val="Arial"/>
        <family val="2"/>
      </rPr>
      <t>)=</t>
    </r>
    <r>
      <rPr>
        <sz val="10"/>
        <rFont val="Noto Sans CJK SC"/>
        <family val="2"/>
      </rPr>
      <t>可复现；耗时与成功率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参与者记录</t>
    </r>
    <r>
      <rPr>
        <sz val="10"/>
        <rFont val="Arial"/>
        <family val="2"/>
      </rPr>
      <t>)=</t>
    </r>
    <r>
      <rPr>
        <sz val="10"/>
        <rFont val="Noto Sans CJK SC"/>
        <family val="2"/>
      </rPr>
      <t>稳定；控制变量执行率</t>
    </r>
    <r>
      <rPr>
        <sz val="10"/>
        <rFont val="Arial"/>
        <family val="2"/>
      </rPr>
      <t>=</t>
    </r>
    <r>
      <rPr>
        <sz val="10"/>
        <rFont val="Noto Sans CJK SC"/>
        <family val="2"/>
      </rPr>
      <t xml:space="preserve">严谨；失效点 </t>
    </r>
    <r>
      <rPr>
        <sz val="10"/>
        <rFont val="Arial"/>
        <family val="2"/>
      </rPr>
      <t>4→0(</t>
    </r>
    <r>
      <rPr>
        <sz val="10"/>
        <rFont val="Noto Sans CJK SC"/>
        <family val="2"/>
      </rPr>
      <t>迭代收敛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</si>
  <si>
    <r>
      <rPr>
        <b/>
        <sz val="10"/>
        <rFont val="Arial"/>
        <family val="2"/>
      </rPr>
      <t>R2</t>
    </r>
    <r>
      <rPr>
        <b/>
        <sz val="10"/>
        <rFont val="Noto Sans CJK SC"/>
        <family val="2"/>
      </rPr>
      <t xml:space="preserve">「完整 </t>
    </r>
    <r>
      <rPr>
        <b/>
        <sz val="10"/>
        <rFont val="Arial"/>
        <family val="2"/>
      </rPr>
      <t xml:space="preserve">workshop </t>
    </r>
    <r>
      <rPr>
        <b/>
        <sz val="10"/>
        <rFont val="Noto Sans CJK SC"/>
        <family val="2"/>
      </rPr>
      <t>产出什么</t>
    </r>
    <r>
      <rPr>
        <b/>
        <sz val="10"/>
        <rFont val="Arial"/>
        <family val="2"/>
      </rPr>
      <t>?</t>
    </r>
    <r>
      <rPr>
        <b/>
        <sz val="10"/>
        <rFont val="Noto Sans CJK SC"/>
        <family val="2"/>
      </rPr>
      <t>」</t>
    </r>
  </si>
  <si>
    <t>→ 分段记录的回忆触发、逐段评分、可用性，展示实际产出。</t>
  </si>
  <si>
    <t>五个标签页</t>
  </si>
  <si>
    <t>① 参与者记录</t>
  </si>
  <si>
    <r>
      <rPr>
        <sz val="10"/>
        <rFont val="Noto Sans CJK SC"/>
        <family val="2"/>
      </rPr>
      <t xml:space="preserve">每人每次 </t>
    </r>
    <r>
      <rPr>
        <sz val="10"/>
        <rFont val="Arial"/>
        <family val="2"/>
      </rPr>
      <t xml:space="preserve">walk </t>
    </r>
    <r>
      <rPr>
        <sz val="10"/>
        <rFont val="Noto Sans CJK SC"/>
        <family val="2"/>
      </rPr>
      <t>一行：批次、耗时、三路信号成功率、控制变量、平台可用性。</t>
    </r>
  </si>
  <si>
    <t>② 同步记录</t>
  </si>
  <si>
    <r>
      <rPr>
        <sz val="10"/>
        <rFont val="Noto Sans CJK SC"/>
        <family val="2"/>
      </rPr>
      <t>每次拍手记各设备时刻，自动算跨设备偏差（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可复现指标）。</t>
    </r>
  </si>
  <si>
    <r>
      <rPr>
        <b/>
        <sz val="10"/>
        <rFont val="Noto Sans CJK SC"/>
        <family val="2"/>
      </rPr>
      <t>③ 分段记录</t>
    </r>
    <r>
      <rPr>
        <b/>
        <sz val="10"/>
        <rFont val="Arial"/>
        <family val="2"/>
      </rPr>
      <t>(A/B</t>
    </r>
    <r>
      <rPr>
        <b/>
        <sz val="10"/>
        <rFont val="Noto Sans CJK SC"/>
        <family val="2"/>
      </rPr>
      <t>核心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</si>
  <si>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每人</t>
    </r>
    <r>
      <rPr>
        <sz val="10"/>
        <rFont val="Arial"/>
        <family val="2"/>
      </rPr>
      <t>×</t>
    </r>
    <r>
      <rPr>
        <sz val="10"/>
        <rFont val="Noto Sans CJK SC"/>
        <family val="2"/>
      </rPr>
      <t>每区段一行：区段类型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密集</t>
    </r>
    <r>
      <rPr>
        <sz val="10"/>
        <rFont val="Arial"/>
        <family val="2"/>
      </rPr>
      <t>A/</t>
    </r>
    <r>
      <rPr>
        <sz val="10"/>
        <rFont val="Noto Sans CJK SC"/>
        <family val="2"/>
      </rPr>
      <t>绿地</t>
    </r>
    <r>
      <rPr>
        <sz val="10"/>
        <rFont val="Arial"/>
        <family val="2"/>
      </rPr>
      <t>B)</t>
    </r>
    <r>
      <rPr>
        <sz val="10"/>
        <rFont val="Noto Sans CJK SC"/>
        <family val="2"/>
      </rPr>
      <t xml:space="preserve">、按段信号值、街景回忆、逐段评分。右侧自动汇总 </t>
    </r>
    <r>
      <rPr>
        <sz val="10"/>
        <rFont val="Arial"/>
        <family val="2"/>
      </rPr>
      <t>A vs B</t>
    </r>
    <r>
      <rPr>
        <sz val="10"/>
        <rFont val="Noto Sans CJK SC"/>
        <family val="2"/>
      </rPr>
      <t>。</t>
    </r>
  </si>
  <si>
    <t>④ 迭代收敛</t>
  </si>
  <si>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个失效点在各迭代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批次是否解决，证明 </t>
    </r>
    <r>
      <rPr>
        <sz val="10"/>
        <rFont val="Arial"/>
        <family val="2"/>
      </rPr>
      <t>4→0</t>
    </r>
    <r>
      <rPr>
        <sz val="10"/>
        <rFont val="Noto Sans CJK SC"/>
        <family val="2"/>
      </rPr>
      <t>。</t>
    </r>
  </si>
  <si>
    <r>
      <rPr>
        <b/>
        <sz val="10"/>
        <color rgb="FFFFFFFF"/>
        <rFont val="Noto Sans CJK SC"/>
        <family val="2"/>
      </rPr>
      <t>参与者</t>
    </r>
    <r>
      <rPr>
        <b/>
        <sz val="10"/>
        <color rgb="FFFFFFFF"/>
        <rFont val="Arial"/>
        <family val="2"/>
      </rPr>
      <t>ID</t>
    </r>
  </si>
  <si>
    <t>批次</t>
  </si>
  <si>
    <t>Walk</t>
  </si>
  <si>
    <t>方向</t>
  </si>
  <si>
    <t>设备组</t>
  </si>
  <si>
    <t>年龄段</t>
  </si>
  <si>
    <r>
      <rPr>
        <b/>
        <sz val="8"/>
        <color rgb="FF1F4E5F"/>
        <rFont val="Noto Sans CJK SC"/>
        <family val="2"/>
      </rPr>
      <t>—耗时</t>
    </r>
    <r>
      <rPr>
        <b/>
        <sz val="8"/>
        <color rgb="FF1F4E5F"/>
        <rFont val="Arial"/>
        <family val="2"/>
      </rPr>
      <t>(</t>
    </r>
    <r>
      <rPr>
        <b/>
        <sz val="8"/>
        <color rgb="FF1F4E5F"/>
        <rFont val="Noto Sans CJK SC"/>
        <family val="2"/>
      </rPr>
      <t>分</t>
    </r>
    <r>
      <rPr>
        <b/>
        <sz val="8"/>
        <color rgb="FF1F4E5F"/>
        <rFont val="Arial"/>
        <family val="2"/>
      </rPr>
      <t>)—</t>
    </r>
  </si>
  <si>
    <r>
      <rPr>
        <b/>
        <sz val="10"/>
        <color rgb="FFFFFFFF"/>
        <rFont val="Noto Sans CJK SC"/>
        <family val="2"/>
      </rPr>
      <t>佩戴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配对</t>
    </r>
  </si>
  <si>
    <t>Baseline</t>
  </si>
  <si>
    <t>行走</t>
  </si>
  <si>
    <r>
      <rPr>
        <b/>
        <sz val="10"/>
        <color rgb="FFFFFFFF"/>
        <rFont val="Noto Sans CJK SC"/>
        <family val="2"/>
      </rPr>
      <t>回忆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评分</t>
    </r>
  </si>
  <si>
    <t>中断次数</t>
  </si>
  <si>
    <t>—信号采集—</t>
  </si>
  <si>
    <r>
      <rPr>
        <b/>
        <sz val="10"/>
        <color rgb="FFFFFFFF"/>
        <rFont val="Arial"/>
        <family val="2"/>
      </rPr>
      <t>EDA</t>
    </r>
    <r>
      <rPr>
        <b/>
        <sz val="10"/>
        <color rgb="FFFFFFFF"/>
        <rFont val="Noto Sans CJK SC"/>
        <family val="2"/>
      </rPr>
      <t>成功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</si>
  <si>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Arial"/>
        <family val="2"/>
      </rPr>
      <t>EDA</t>
    </r>
    <r>
      <rPr>
        <b/>
        <sz val="10"/>
        <color rgb="FFFFFFFF"/>
        <rFont val="Noto Sans CJK SC"/>
        <family val="2"/>
      </rPr>
      <t>有效</t>
    </r>
    <r>
      <rPr>
        <b/>
        <sz val="10"/>
        <color rgb="FFFFFFFF"/>
        <rFont val="Arial"/>
        <family val="2"/>
      </rPr>
      <t>%</t>
    </r>
  </si>
  <si>
    <r>
      <rPr>
        <b/>
        <sz val="10"/>
        <color rgb="FFFFFFFF"/>
        <rFont val="Arial"/>
        <family val="2"/>
      </rPr>
      <t>EDA</t>
    </r>
    <r>
      <rPr>
        <b/>
        <sz val="10"/>
        <color rgb="FFFFFFFF"/>
        <rFont val="Noto Sans CJK SC"/>
        <family val="2"/>
      </rPr>
      <t>伪迹</t>
    </r>
    <r>
      <rPr>
        <b/>
        <sz val="10"/>
        <color rgb="FFFFFFFF"/>
        <rFont val="Arial"/>
        <family val="2"/>
      </rPr>
      <t>%</t>
    </r>
  </si>
  <si>
    <r>
      <rPr>
        <b/>
        <sz val="10"/>
        <color rgb="FFFFFFFF"/>
        <rFont val="Noto Sans CJK SC"/>
        <family val="2"/>
      </rPr>
      <t>心率</t>
    </r>
    <r>
      <rPr>
        <b/>
        <sz val="10"/>
        <color rgb="FFFFFFFF"/>
        <rFont val="Arial"/>
        <family val="2"/>
      </rPr>
      <t>/HRV</t>
    </r>
    <r>
      <rPr>
        <b/>
        <sz val="10"/>
        <color rgb="FFFFFFFF"/>
        <rFont val="Noto Sans CJK SC"/>
        <family val="2"/>
      </rPr>
      <t>成功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</si>
  <si>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Noto Sans CJK SC"/>
        <family val="2"/>
      </rPr>
      <t>心率</t>
    </r>
    <r>
      <rPr>
        <b/>
        <sz val="10"/>
        <color rgb="FFFFFFFF"/>
        <rFont val="Arial"/>
        <family val="2"/>
      </rPr>
      <t>/HRV</t>
    </r>
    <r>
      <rPr>
        <b/>
        <sz val="10"/>
        <color rgb="FFFFFFFF"/>
        <rFont val="Noto Sans CJK SC"/>
        <family val="2"/>
      </rPr>
      <t>有效</t>
    </r>
    <r>
      <rPr>
        <b/>
        <sz val="10"/>
        <color rgb="FFFFFFFF"/>
        <rFont val="Arial"/>
        <family val="2"/>
      </rPr>
      <t>%</t>
    </r>
  </si>
  <si>
    <r>
      <rPr>
        <b/>
        <sz val="10"/>
        <color rgb="FFFFFFFF"/>
        <rFont val="Arial"/>
        <family val="2"/>
      </rPr>
      <t>EEG</t>
    </r>
    <r>
      <rPr>
        <b/>
        <sz val="10"/>
        <color rgb="FFFFFFFF"/>
        <rFont val="Noto Sans CJK SC"/>
        <family val="2"/>
      </rPr>
      <t>成功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</si>
  <si>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Arial"/>
        <family val="2"/>
      </rPr>
      <t>EEG</t>
    </r>
    <r>
      <rPr>
        <b/>
        <sz val="10"/>
        <color rgb="FFFFFFFF"/>
        <rFont val="Noto Sans CJK SC"/>
        <family val="2"/>
      </rPr>
      <t>有效</t>
    </r>
    <r>
      <rPr>
        <b/>
        <sz val="10"/>
        <color rgb="FFFFFFFF"/>
        <rFont val="Arial"/>
        <family val="2"/>
      </rPr>
      <t>%</t>
    </r>
  </si>
  <si>
    <r>
      <rPr>
        <b/>
        <sz val="10"/>
        <color rgb="FFFFFFFF"/>
        <rFont val="Arial"/>
        <family val="2"/>
      </rPr>
      <t>EEG</t>
    </r>
    <r>
      <rPr>
        <b/>
        <sz val="10"/>
        <color rgb="FFFFFFFF"/>
        <rFont val="Noto Sans CJK SC"/>
        <family val="2"/>
      </rPr>
      <t>伪迹</t>
    </r>
    <r>
      <rPr>
        <b/>
        <sz val="10"/>
        <color rgb="FFFFFFFF"/>
        <rFont val="Arial"/>
        <family val="2"/>
      </rPr>
      <t>%</t>
    </r>
  </si>
  <si>
    <r>
      <rPr>
        <b/>
        <sz val="10"/>
        <color rgb="FFFFFFFF"/>
        <rFont val="Arial"/>
        <family val="2"/>
      </rPr>
      <t>GPX</t>
    </r>
    <r>
      <rPr>
        <b/>
        <sz val="10"/>
        <color rgb="FFFFFFFF"/>
        <rFont val="Noto Sans CJK SC"/>
        <family val="2"/>
      </rPr>
      <t>成功</t>
    </r>
    <r>
      <rPr>
        <b/>
        <sz val="10"/>
        <color rgb="FFFFFFFF"/>
        <rFont val="Arial"/>
        <family val="2"/>
      </rPr>
      <t>?</t>
    </r>
  </si>
  <si>
    <r>
      <rPr>
        <b/>
        <sz val="8"/>
        <color rgb="FF1F4E5F"/>
        <rFont val="Noto Sans CJK SC"/>
        <family val="2"/>
      </rPr>
      <t>—控制</t>
    </r>
    <r>
      <rPr>
        <b/>
        <sz val="8"/>
        <color rgb="FF1F4E5F"/>
        <rFont val="Arial"/>
        <family val="2"/>
      </rPr>
      <t>(</t>
    </r>
    <r>
      <rPr>
        <b/>
        <sz val="8"/>
        <color rgb="FF1F4E5F"/>
        <rFont val="Noto Sans CJK SC"/>
        <family val="2"/>
      </rPr>
      <t>严谨</t>
    </r>
    <r>
      <rPr>
        <b/>
        <sz val="8"/>
        <color rgb="FF1F4E5F"/>
        <rFont val="Arial"/>
        <family val="2"/>
      </rPr>
      <t>)—</t>
    </r>
  </si>
  <si>
    <r>
      <rPr>
        <b/>
        <sz val="10"/>
        <color rgb="FFFFFFFF"/>
        <rFont val="Noto Sans CJK SC"/>
        <family val="2"/>
      </rPr>
      <t>独走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静默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</si>
  <si>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Arial"/>
        <family val="2"/>
      </rPr>
      <t>Baseline</t>
    </r>
    <r>
      <rPr>
        <b/>
        <sz val="10"/>
        <color rgb="FFFFFFFF"/>
        <rFont val="Noto Sans CJK SC"/>
        <family val="2"/>
      </rPr>
      <t>采集</t>
    </r>
    <r>
      <rPr>
        <b/>
        <sz val="10"/>
        <color rgb="FFFFFFFF"/>
        <rFont val="Arial"/>
        <family val="2"/>
      </rPr>
      <t>?</t>
    </r>
  </si>
  <si>
    <r>
      <rPr>
        <b/>
        <sz val="8"/>
        <color rgb="FF1F4E5F"/>
        <rFont val="Noto Sans CJK SC"/>
        <family val="2"/>
      </rPr>
      <t>—平台可用性</t>
    </r>
    <r>
      <rPr>
        <b/>
        <sz val="8"/>
        <color rgb="FF1F4E5F"/>
        <rFont val="Arial"/>
        <family val="2"/>
      </rPr>
      <t>(1-7)—</t>
    </r>
  </si>
  <si>
    <t>街景帮到回忆</t>
  </si>
  <si>
    <t>界面好用</t>
  </si>
  <si>
    <t>能独立操作</t>
  </si>
  <si>
    <t>备注</t>
  </si>
  <si>
    <r>
      <rPr>
        <i/>
        <sz val="9"/>
        <color rgb="FF555555"/>
        <rFont val="Arial"/>
        <family val="2"/>
      </rPr>
      <t>P1…</t>
    </r>
    <r>
      <rPr>
        <i/>
        <sz val="9"/>
        <color rgb="FF555555"/>
        <rFont val="Noto Sans CJK SC"/>
        <family val="2"/>
      </rPr>
      <t>（匿名）</t>
    </r>
  </si>
  <si>
    <t>B1/B2/B3</t>
  </si>
  <si>
    <r>
      <rPr>
        <i/>
        <sz val="9"/>
        <color rgb="FF555555"/>
        <rFont val="Noto Sans CJK SC"/>
        <family val="2"/>
      </rPr>
      <t>如</t>
    </r>
    <r>
      <rPr>
        <i/>
        <sz val="9"/>
        <color rgb="FF555555"/>
        <rFont val="Arial"/>
        <family val="2"/>
      </rPr>
      <t>W1</t>
    </r>
  </si>
  <si>
    <r>
      <rPr>
        <i/>
        <sz val="9"/>
        <color rgb="FF555555"/>
        <rFont val="Noto Sans CJK SC"/>
        <family val="2"/>
      </rPr>
      <t>顺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>逆时针</t>
    </r>
  </si>
  <si>
    <t>A/B</t>
  </si>
  <si>
    <t>可选</t>
  </si>
  <si>
    <r>
      <rPr>
        <i/>
        <sz val="9"/>
        <color rgb="FF555555"/>
        <rFont val="Noto Sans CJK SC"/>
        <family val="2"/>
      </rPr>
      <t>对比</t>
    </r>
    <r>
      <rPr>
        <i/>
        <sz val="9"/>
        <color rgb="FF555555"/>
        <rFont val="Arial"/>
        <family val="2"/>
      </rPr>
      <t>v1</t>
    </r>
    <r>
      <rPr>
        <i/>
        <sz val="9"/>
        <color rgb="FF555555"/>
        <rFont val="Noto Sans CJK SC"/>
        <family val="2"/>
      </rPr>
      <t>应↓</t>
    </r>
  </si>
  <si>
    <t>Y/N</t>
  </si>
  <si>
    <t>Polar</t>
  </si>
  <si>
    <t>BrainLink</t>
  </si>
  <si>
    <t>步态</t>
  </si>
  <si>
    <r>
      <rPr>
        <i/>
        <sz val="9"/>
        <rFont val="Arial"/>
        <family val="2"/>
      </rPr>
      <t>P1(</t>
    </r>
    <r>
      <rPr>
        <i/>
        <sz val="9"/>
        <rFont val="Noto Sans CJK SC"/>
        <family val="2"/>
      </rPr>
      <t>例</t>
    </r>
    <r>
      <rPr>
        <i/>
        <sz val="9"/>
        <rFont val="Arial"/>
        <family val="2"/>
      </rPr>
      <t>)</t>
    </r>
  </si>
  <si>
    <t>B1</t>
  </si>
  <si>
    <t>W1</t>
  </si>
  <si>
    <t>顺</t>
  </si>
  <si>
    <t>A</t>
  </si>
  <si>
    <t>25-34</t>
  </si>
  <si>
    <t>Y</t>
  </si>
  <si>
    <t>小雨打伞</t>
  </si>
  <si>
    <r>
      <rPr>
        <b/>
        <sz val="12"/>
        <color rgb="FF1F4E5F"/>
        <rFont val="Noto Sans CJK SC"/>
        <family val="2"/>
      </rPr>
      <t>跨设备同步 — 拍手对齐（</t>
    </r>
    <r>
      <rPr>
        <b/>
        <sz val="12"/>
        <color rgb="FF1F4E5F"/>
        <rFont val="Arial"/>
        <family val="2"/>
      </rPr>
      <t>=</t>
    </r>
    <r>
      <rPr>
        <b/>
        <sz val="12"/>
        <color rgb="FF1F4E5F"/>
        <rFont val="Noto Sans CJK SC"/>
        <family val="2"/>
      </rPr>
      <t>可复现指标）</t>
    </r>
  </si>
  <si>
    <r>
      <rPr>
        <i/>
        <sz val="9"/>
        <color rgb="FF555555"/>
        <rFont val="Noto Sans CJK SC"/>
        <family val="2"/>
      </rPr>
      <t xml:space="preserve">每次拍手，记各设备记到的时刻（填当天秒数 </t>
    </r>
    <r>
      <rPr>
        <i/>
        <sz val="9"/>
        <color rgb="FF555555"/>
        <rFont val="Arial"/>
        <family val="2"/>
      </rPr>
      <t>seconds-of-day</t>
    </r>
    <r>
      <rPr>
        <i/>
        <sz val="9"/>
        <color rgb="FF555555"/>
        <rFont val="Noto Sans CJK SC"/>
        <family val="2"/>
      </rPr>
      <t>）。偏差列</t>
    </r>
    <r>
      <rPr>
        <i/>
        <sz val="9"/>
        <color rgb="FF555555"/>
        <rFont val="Arial"/>
        <family val="2"/>
      </rPr>
      <t>=</t>
    </r>
    <r>
      <rPr>
        <i/>
        <sz val="9"/>
        <color rgb="FF555555"/>
        <rFont val="Noto Sans CJK SC"/>
        <family val="2"/>
      </rPr>
      <t>最大</t>
    </r>
    <r>
      <rPr>
        <i/>
        <sz val="9"/>
        <color rgb="FF555555"/>
        <rFont val="Arial"/>
        <family val="2"/>
      </rPr>
      <t>-</t>
    </r>
    <r>
      <rPr>
        <i/>
        <sz val="9"/>
        <color rgb="FF555555"/>
        <rFont val="Noto Sans CJK SC"/>
        <family val="2"/>
      </rPr>
      <t>最小，自动算。</t>
    </r>
  </si>
  <si>
    <t>参与者</t>
  </si>
  <si>
    <t>标记</t>
  </si>
  <si>
    <r>
      <rPr>
        <b/>
        <sz val="10"/>
        <color rgb="FFFFFFFF"/>
        <rFont val="Noto Sans CJK SC"/>
        <family val="2"/>
      </rPr>
      <t>手机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视频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</si>
  <si>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Polar(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</si>
  <si>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BrainLink(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</si>
  <si>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GSR</t>
    </r>
    <r>
      <rPr>
        <b/>
        <sz val="10"/>
        <color rgb="FFFFFFFF"/>
        <rFont val="Noto Sans CJK SC"/>
        <family val="2"/>
      </rPr>
      <t>表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</t>
    </r>
  </si>
  <si>
    <t>GPX</t>
  </si>
  <si>
    <r>
      <rPr>
        <b/>
        <sz val="10"/>
        <color rgb="FFFFFFFF"/>
        <rFont val="Noto Sans CJK SC"/>
        <family val="2"/>
      </rPr>
      <t>偏差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秒</t>
    </r>
    <r>
      <rPr>
        <b/>
        <sz val="10"/>
        <color rgb="FFFFFFFF"/>
        <rFont val="Arial"/>
        <family val="2"/>
      </rPr>
      <t>)=</t>
    </r>
    <r>
      <rPr>
        <b/>
        <sz val="10"/>
        <color rgb="FFFFFFFF"/>
        <rFont val="Noto Sans CJK SC"/>
        <family val="2"/>
      </rPr>
      <t>最大</t>
    </r>
    <r>
      <rPr>
        <b/>
        <sz val="10"/>
        <color rgb="FFFFFFFF"/>
        <rFont val="Arial"/>
        <family val="2"/>
      </rPr>
      <t>-</t>
    </r>
    <r>
      <rPr>
        <b/>
        <sz val="10"/>
        <color rgb="FFFFFFFF"/>
        <rFont val="Noto Sans CJK SC"/>
        <family val="2"/>
      </rPr>
      <t>最小</t>
    </r>
  </si>
  <si>
    <t>汇总</t>
  </si>
  <si>
    <t>出发拍手</t>
  </si>
  <si>
    <r>
      <rPr>
        <sz val="10"/>
        <rFont val="Noto Sans CJK SC"/>
        <family val="2"/>
      </rPr>
      <t>平均偏差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秒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</si>
  <si>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最大偏差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秒</t>
    </r>
    <r>
      <rPr>
        <sz val="10"/>
        <rFont val="Arial"/>
        <family val="2"/>
      </rPr>
      <t>)</t>
    </r>
  </si>
  <si>
    <t>标记数量</t>
  </si>
  <si>
    <r>
      <rPr>
        <b/>
        <sz val="11"/>
        <color rgb="FF1F4E5F"/>
        <rFont val="Noto Sans CJK SC"/>
        <family val="2"/>
      </rPr>
      <t>分段记录 — 每人</t>
    </r>
    <r>
      <rPr>
        <b/>
        <sz val="11"/>
        <color rgb="FF1F4E5F"/>
        <rFont val="Arial"/>
        <family val="2"/>
      </rPr>
      <t>×</t>
    </r>
    <r>
      <rPr>
        <b/>
        <sz val="11"/>
        <color rgb="FF1F4E5F"/>
        <rFont val="Noto Sans CJK SC"/>
        <family val="2"/>
      </rPr>
      <t>每区段一行。信号</t>
    </r>
    <r>
      <rPr>
        <b/>
        <sz val="11"/>
        <color rgb="FF1F4E5F"/>
        <rFont val="Arial"/>
        <family val="2"/>
      </rPr>
      <t>(</t>
    </r>
    <r>
      <rPr>
        <b/>
        <sz val="11"/>
        <color rgb="FF1F4E5F"/>
        <rFont val="Noto Sans CJK SC"/>
        <family val="2"/>
      </rPr>
      <t>浅绿</t>
    </r>
    <r>
      <rPr>
        <b/>
        <sz val="11"/>
        <color rgb="FF1F4E5F"/>
        <rFont val="Arial"/>
        <family val="2"/>
      </rPr>
      <t>)</t>
    </r>
    <r>
      <rPr>
        <b/>
        <sz val="11"/>
        <color rgb="FF1F4E5F"/>
        <rFont val="Noto Sans CJK SC"/>
        <family val="2"/>
      </rPr>
      <t>走后处理填；回忆</t>
    </r>
    <r>
      <rPr>
        <b/>
        <sz val="11"/>
        <color rgb="FF1F4E5F"/>
        <rFont val="Arial"/>
        <family val="2"/>
      </rPr>
      <t>/</t>
    </r>
    <r>
      <rPr>
        <b/>
        <sz val="11"/>
        <color rgb="FF1F4E5F"/>
        <rFont val="Noto Sans CJK SC"/>
        <family val="2"/>
      </rPr>
      <t xml:space="preserve">评分当场填。右侧自动汇总 </t>
    </r>
    <r>
      <rPr>
        <b/>
        <sz val="11"/>
        <color rgb="FF1F4E5F"/>
        <rFont val="Arial"/>
        <family val="2"/>
      </rPr>
      <t>A vs B</t>
    </r>
    <r>
      <rPr>
        <b/>
        <sz val="11"/>
        <color rgb="FF1F4E5F"/>
        <rFont val="Noto Sans CJK SC"/>
        <family val="2"/>
      </rPr>
      <t>。</t>
    </r>
  </si>
  <si>
    <r>
      <rPr>
        <i/>
        <sz val="9"/>
        <color rgb="FF555555"/>
        <rFont val="Noto Sans CJK SC"/>
        <family val="2"/>
      </rPr>
      <t>区段类型请统一填「密集</t>
    </r>
    <r>
      <rPr>
        <i/>
        <sz val="9"/>
        <color rgb="FF555555"/>
        <rFont val="Arial"/>
        <family val="2"/>
      </rPr>
      <t>A</t>
    </r>
    <r>
      <rPr>
        <i/>
        <sz val="9"/>
        <color rgb="FF555555"/>
        <rFont val="Noto Sans CJK SC"/>
        <family val="2"/>
      </rPr>
      <t>」或「绿地</t>
    </r>
    <r>
      <rPr>
        <i/>
        <sz val="9"/>
        <color rgb="FF555555"/>
        <rFont val="Arial"/>
        <family val="2"/>
      </rPr>
      <t>B</t>
    </r>
    <r>
      <rPr>
        <i/>
        <sz val="9"/>
        <color rgb="FF555555"/>
        <rFont val="Noto Sans CJK SC"/>
        <family val="2"/>
      </rPr>
      <t xml:space="preserve">」（汇总公式按这两个词匹配）。评分 </t>
    </r>
    <r>
      <rPr>
        <i/>
        <sz val="9"/>
        <color rgb="FF555555"/>
        <rFont val="Arial"/>
        <family val="2"/>
      </rPr>
      <t>1–7</t>
    </r>
    <r>
      <rPr>
        <i/>
        <sz val="9"/>
        <color rgb="FF555555"/>
        <rFont val="Noto Sans CJK SC"/>
        <family val="2"/>
      </rPr>
      <t>。</t>
    </r>
  </si>
  <si>
    <r>
      <rPr>
        <b/>
        <sz val="10"/>
        <color rgb="FFFFFFFF"/>
        <rFont val="Noto Sans CJK SC"/>
        <family val="2"/>
      </rPr>
      <t>区段</t>
    </r>
    <r>
      <rPr>
        <b/>
        <sz val="10"/>
        <color rgb="FFFFFFFF"/>
        <rFont val="Arial"/>
        <family val="2"/>
      </rPr>
      <t>ID</t>
    </r>
  </si>
  <si>
    <t>区段类型</t>
  </si>
  <si>
    <r>
      <rPr>
        <b/>
        <sz val="9"/>
        <color rgb="FF2E4600"/>
        <rFont val="Arial"/>
        <family val="2"/>
      </rPr>
      <t>EDA</t>
    </r>
    <r>
      <rPr>
        <b/>
        <sz val="9"/>
        <color rgb="FF2E4600"/>
        <rFont val="Noto Sans CJK SC"/>
        <family val="2"/>
      </rPr>
      <t>水平</t>
    </r>
  </si>
  <si>
    <r>
      <rPr>
        <b/>
        <sz val="9"/>
        <color rgb="FF2E4600"/>
        <rFont val="Arial"/>
        <family val="2"/>
      </rPr>
      <t>SCR</t>
    </r>
    <r>
      <rPr>
        <b/>
        <sz val="9"/>
        <color rgb="FF2E4600"/>
        <rFont val="Noto Sans CJK SC"/>
        <family val="2"/>
      </rPr>
      <t>峰频</t>
    </r>
  </si>
  <si>
    <t>心率均值</t>
  </si>
  <si>
    <t>HRV RMSSD</t>
  </si>
  <si>
    <r>
      <rPr>
        <b/>
        <sz val="9"/>
        <color rgb="FF2E4600"/>
        <rFont val="Arial"/>
        <family val="2"/>
      </rPr>
      <t>EEG</t>
    </r>
    <r>
      <rPr>
        <b/>
        <sz val="9"/>
        <color rgb="FF2E4600"/>
        <rFont val="Noto Sans CJK SC"/>
        <family val="2"/>
      </rPr>
      <t>唤醒</t>
    </r>
  </si>
  <si>
    <r>
      <rPr>
        <b/>
        <sz val="10"/>
        <color rgb="FFFFFFFF"/>
        <rFont val="Noto Sans CJK SC"/>
        <family val="2"/>
      </rPr>
      <t>街景呈现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</si>
  <si>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Noto Sans CJK SC"/>
        <family val="2"/>
      </rPr>
      <t>情境自述</t>
    </r>
    <r>
      <rPr>
        <b/>
        <sz val="10"/>
        <color rgb="FFFFFFFF"/>
        <rFont val="Arial"/>
        <family val="2"/>
      </rPr>
      <t>?</t>
    </r>
  </si>
  <si>
    <r>
      <rPr>
        <b/>
        <sz val="10"/>
        <color rgb="FFFFFFFF"/>
        <rFont val="Noto Sans CJK SC"/>
        <family val="2"/>
      </rPr>
      <t>本段耗时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分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</si>
  <si>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原话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备注</t>
    </r>
  </si>
  <si>
    <t>指标</t>
  </si>
  <si>
    <r>
      <rPr>
        <b/>
        <sz val="10"/>
        <color rgb="FFFFFFFF"/>
        <rFont val="Noto Sans CJK SC"/>
        <family val="2"/>
      </rPr>
      <t>密集</t>
    </r>
    <r>
      <rPr>
        <b/>
        <sz val="10"/>
        <color rgb="FFFFFFFF"/>
        <rFont val="Arial"/>
        <family val="2"/>
      </rPr>
      <t>A</t>
    </r>
    <r>
      <rPr>
        <b/>
        <sz val="10"/>
        <color rgb="FFFFFFFF"/>
        <rFont val="Noto Sans CJK SC"/>
        <family val="2"/>
      </rPr>
      <t>均值</t>
    </r>
  </si>
  <si>
    <r>
      <rPr>
        <b/>
        <sz val="10"/>
        <color rgb="FFFFFFFF"/>
        <rFont val="Noto Sans CJK SC"/>
        <family val="2"/>
      </rPr>
      <t>绿地</t>
    </r>
    <r>
      <rPr>
        <b/>
        <sz val="10"/>
        <color rgb="FFFFFFFF"/>
        <rFont val="Arial"/>
        <family val="2"/>
      </rPr>
      <t>B</t>
    </r>
    <r>
      <rPr>
        <b/>
        <sz val="10"/>
        <color rgb="FFFFFFFF"/>
        <rFont val="Noto Sans CJK SC"/>
        <family val="2"/>
      </rPr>
      <t>均值</t>
    </r>
  </si>
  <si>
    <r>
      <rPr>
        <b/>
        <sz val="10"/>
        <color rgb="FFFFFFFF"/>
        <rFont val="Noto Sans CJK SC"/>
        <family val="2"/>
      </rPr>
      <t>差值</t>
    </r>
    <r>
      <rPr>
        <b/>
        <sz val="10"/>
        <color rgb="FFFFFFFF"/>
        <rFont val="Arial"/>
        <family val="2"/>
      </rPr>
      <t>(A-B)</t>
    </r>
  </si>
  <si>
    <t>Z1</t>
  </si>
  <si>
    <r>
      <rPr>
        <i/>
        <sz val="9"/>
        <rFont val="Noto Sans CJK SC"/>
        <family val="2"/>
      </rPr>
      <t>密集</t>
    </r>
    <r>
      <rPr>
        <i/>
        <sz val="9"/>
        <rFont val="Arial"/>
        <family val="2"/>
      </rPr>
      <t>A</t>
    </r>
  </si>
  <si>
    <t>过马路公交冲过来，紧张</t>
  </si>
  <si>
    <r>
      <rPr>
        <sz val="10"/>
        <rFont val="Arial"/>
        <family val="2"/>
      </rPr>
      <t>EDA</t>
    </r>
    <r>
      <rPr>
        <sz val="10"/>
        <rFont val="Noto Sans CJK SC"/>
        <family val="2"/>
      </rPr>
      <t>水平</t>
    </r>
  </si>
  <si>
    <t>Z2</t>
  </si>
  <si>
    <r>
      <rPr>
        <i/>
        <sz val="9"/>
        <rFont val="Noto Sans CJK SC"/>
        <family val="2"/>
      </rPr>
      <t>绿地</t>
    </r>
    <r>
      <rPr>
        <i/>
        <sz val="9"/>
        <rFont val="Arial"/>
        <family val="2"/>
      </rPr>
      <t>B</t>
    </r>
  </si>
  <si>
    <t>树荫下，放松下来</t>
  </si>
  <si>
    <r>
      <rPr>
        <sz val="10"/>
        <rFont val="Arial"/>
        <family val="2"/>
      </rPr>
      <t>SCR</t>
    </r>
    <r>
      <rPr>
        <sz val="10"/>
        <rFont val="Noto Sans CJK SC"/>
        <family val="2"/>
      </rPr>
      <t>峰频</t>
    </r>
  </si>
  <si>
    <r>
      <rPr>
        <sz val="10"/>
        <rFont val="Arial"/>
        <family val="2"/>
      </rPr>
      <t>EEG</t>
    </r>
    <r>
      <rPr>
        <sz val="10"/>
        <rFont val="Noto Sans CJK SC"/>
        <family val="2"/>
      </rPr>
      <t>唤醒</t>
    </r>
  </si>
  <si>
    <t>压力评分</t>
  </si>
  <si>
    <t>唤醒评分</t>
  </si>
  <si>
    <t>恢复感评分</t>
  </si>
  <si>
    <r>
      <rPr>
        <sz val="10"/>
        <rFont val="Noto Sans CJK SC"/>
        <family val="2"/>
      </rPr>
      <t>回忆触发率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情境自述</t>
    </r>
    <r>
      <rPr>
        <sz val="10"/>
        <rFont val="Arial"/>
        <family val="2"/>
      </rPr>
      <t>%)</t>
    </r>
  </si>
  <si>
    <r>
      <rPr>
        <sz val="10"/>
        <rFont val="Noto Sans CJK SC"/>
        <family val="2"/>
      </rPr>
      <t>街景呈现率</t>
    </r>
    <r>
      <rPr>
        <sz val="10"/>
        <rFont val="Arial"/>
        <family val="2"/>
      </rPr>
      <t>%</t>
    </r>
  </si>
  <si>
    <r>
      <rPr>
        <b/>
        <sz val="12"/>
        <color rgb="FF1F4E5F"/>
        <rFont val="Noto Sans CJK SC"/>
        <family val="2"/>
      </rPr>
      <t xml:space="preserve">迭代收敛 — 证明失效点 </t>
    </r>
    <r>
      <rPr>
        <b/>
        <sz val="12"/>
        <color rgb="FF1F4E5F"/>
        <rFont val="Arial"/>
        <family val="2"/>
      </rPr>
      <t>4→0</t>
    </r>
    <r>
      <rPr>
        <b/>
        <sz val="12"/>
        <color rgb="FF1F4E5F"/>
        <rFont val="Noto Sans CJK SC"/>
        <family val="2"/>
      </rPr>
      <t>（填 ✓</t>
    </r>
    <r>
      <rPr>
        <b/>
        <sz val="12"/>
        <color rgb="FF1F4E5F"/>
        <rFont val="Arial"/>
        <family val="2"/>
      </rPr>
      <t xml:space="preserve">/✗ </t>
    </r>
    <r>
      <rPr>
        <b/>
        <sz val="12"/>
        <color rgb="FF1F4E5F"/>
        <rFont val="Noto Sans CJK SC"/>
        <family val="2"/>
      </rPr>
      <t>或耗时）</t>
    </r>
  </si>
  <si>
    <t>失效点</t>
  </si>
  <si>
    <r>
      <rPr>
        <b/>
        <sz val="10"/>
        <color rgb="FFFFFFFF"/>
        <rFont val="Noto Sans CJK SC"/>
        <family val="2"/>
      </rPr>
      <t>迭代</t>
    </r>
    <r>
      <rPr>
        <b/>
        <sz val="10"/>
        <color rgb="FFFFFFFF"/>
        <rFont val="Arial"/>
        <family val="2"/>
      </rPr>
      <t>1(7</t>
    </r>
    <r>
      <rPr>
        <b/>
        <sz val="10"/>
        <color rgb="FFFFFFFF"/>
        <rFont val="Noto Sans CJK SC"/>
        <family val="2"/>
      </rPr>
      <t>月</t>
    </r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人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</si>
  <si>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v3</t>
    </r>
    <r>
      <rPr>
        <b/>
        <sz val="10"/>
        <color rgb="FFFFFFFF"/>
        <rFont val="Noto Sans CJK SC"/>
        <family val="2"/>
      </rPr>
      <t>修复方案</t>
    </r>
  </si>
  <si>
    <r>
      <rPr>
        <b/>
        <sz val="10"/>
        <color rgb="FFFFFFFF"/>
        <rFont val="Noto Sans CJK SC"/>
        <family val="2"/>
      </rPr>
      <t>迭代</t>
    </r>
    <r>
      <rPr>
        <b/>
        <sz val="10"/>
        <color rgb="FFFFFFFF"/>
        <rFont val="Arial"/>
        <family val="2"/>
      </rPr>
      <t>2-</t>
    </r>
    <r>
      <rPr>
        <b/>
        <sz val="10"/>
        <color rgb="FFFFFFFF"/>
        <rFont val="Noto Sans CJK SC"/>
        <family val="2"/>
      </rPr>
      <t>批次</t>
    </r>
    <r>
      <rPr>
        <b/>
        <sz val="10"/>
        <color rgb="FFFFFFFF"/>
        <rFont val="Arial"/>
        <family val="2"/>
      </rPr>
      <t>1</t>
    </r>
  </si>
  <si>
    <t>微修</t>
  </si>
  <si>
    <r>
      <rPr>
        <b/>
        <sz val="10"/>
        <color rgb="FFFFFFFF"/>
        <rFont val="Noto Sans CJK SC"/>
        <family val="2"/>
      </rPr>
      <t>迭代</t>
    </r>
    <r>
      <rPr>
        <b/>
        <sz val="10"/>
        <color rgb="FFFFFFFF"/>
        <rFont val="Arial"/>
        <family val="2"/>
      </rPr>
      <t>2-</t>
    </r>
    <r>
      <rPr>
        <b/>
        <sz val="10"/>
        <color rgb="FFFFFFFF"/>
        <rFont val="Noto Sans CJK SC"/>
        <family val="2"/>
      </rPr>
      <t>批次</t>
    </r>
    <r>
      <rPr>
        <b/>
        <sz val="10"/>
        <color rgb="FFFFFFFF"/>
        <rFont val="Arial"/>
        <family val="2"/>
      </rPr>
      <t>2/</t>
    </r>
    <r>
      <rPr>
        <b/>
        <sz val="10"/>
        <color rgb="FFFFFFFF"/>
        <rFont val="Noto Sans CJK SC"/>
        <family val="2"/>
      </rPr>
      <t>状态</t>
    </r>
  </si>
  <si>
    <r>
      <rPr>
        <sz val="10"/>
        <rFont val="Arial"/>
        <family val="2"/>
      </rPr>
      <t xml:space="preserve">GPS </t>
    </r>
    <r>
      <rPr>
        <sz val="10"/>
        <rFont val="Noto Sans CJK SC"/>
        <family val="2"/>
      </rPr>
      <t>定位不可用</t>
    </r>
  </si>
  <si>
    <t>✗</t>
  </si>
  <si>
    <r>
      <rPr>
        <sz val="10"/>
        <rFont val="Noto Sans CJK SC"/>
        <family val="2"/>
      </rPr>
      <t>改用轨迹软件</t>
    </r>
    <r>
      <rPr>
        <sz val="10"/>
        <rFont val="Arial"/>
        <family val="2"/>
      </rPr>
      <t>(komoot/</t>
    </r>
    <r>
      <rPr>
        <sz val="10"/>
        <rFont val="Noto Sans CJK SC"/>
        <family val="2"/>
      </rPr>
      <t>两步路</t>
    </r>
    <r>
      <rPr>
        <sz val="10"/>
        <rFont val="Arial"/>
        <family val="2"/>
      </rPr>
      <t>)</t>
    </r>
  </si>
  <si>
    <t>记录员负荷过重</t>
  </si>
  <si>
    <r>
      <rPr>
        <sz val="10"/>
        <rFont val="Noto Sans CJK SC"/>
        <family val="2"/>
      </rPr>
      <t>参与者自记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自打时间戳</t>
    </r>
  </si>
  <si>
    <r>
      <rPr>
        <sz val="10"/>
        <rFont val="Noto Sans CJK SC"/>
        <family val="2"/>
      </rPr>
      <t>访谈准备太慢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视频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</si>
  <si>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改按区段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街景</t>
    </r>
  </si>
  <si>
    <t>设备配对最耗时</t>
  </si>
  <si>
    <r>
      <rPr>
        <sz val="10"/>
        <rFont val="Noto Sans CJK SC"/>
        <family val="2"/>
      </rPr>
      <t>固定设备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手机，全天不重配</t>
    </r>
  </si>
  <si>
    <r>
      <rPr>
        <sz val="10"/>
        <rFont val="Noto Sans CJK SC"/>
        <family val="2"/>
      </rPr>
      <t>新问题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本轮暴露</t>
    </r>
    <r>
      <rPr>
        <sz val="10"/>
        <rFont val="Arial"/>
        <family val="2"/>
      </rPr>
      <t>)</t>
    </r>
  </si>
  <si>
    <t>—</t>
  </si>
  <si>
    <r>
      <rPr>
        <i/>
        <sz val="9"/>
        <color rgb="FF555555"/>
        <rFont val="Noto Sans CJK SC"/>
        <family val="2"/>
      </rPr>
      <t>填法：批次跑完，在「批次</t>
    </r>
    <r>
      <rPr>
        <i/>
        <sz val="9"/>
        <color rgb="FF555555"/>
        <rFont val="Arial"/>
        <family val="2"/>
      </rPr>
      <t>1/</t>
    </r>
    <r>
      <rPr>
        <i/>
        <sz val="9"/>
        <color rgb="FF555555"/>
        <rFont val="Noto Sans CJK SC"/>
        <family val="2"/>
      </rPr>
      <t>批次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」填 ✓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已解决</t>
    </r>
    <r>
      <rPr>
        <i/>
        <sz val="9"/>
        <color rgb="FF555555"/>
        <rFont val="Arial"/>
        <family val="2"/>
      </rPr>
      <t xml:space="preserve">) </t>
    </r>
    <r>
      <rPr>
        <i/>
        <sz val="9"/>
        <color rgb="FF555555"/>
        <rFont val="Noto Sans CJK SC"/>
        <family val="2"/>
      </rPr>
      <t>或具体耗时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如 配对</t>
    </r>
    <r>
      <rPr>
        <i/>
        <sz val="9"/>
        <color rgb="FF555555"/>
        <rFont val="Arial"/>
        <family val="2"/>
      </rPr>
      <t>6.5→</t>
    </r>
    <r>
      <rPr>
        <i/>
        <sz val="9"/>
        <color rgb="FF555555"/>
        <rFont val="Noto Sans CJK SC"/>
        <family val="2"/>
      </rPr>
      <t>填实测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。新问题行记下任何本轮新暴露的、以及微修后是否消失。</t>
    </r>
  </si>
  <si>
    <t>量表得分</t>
  </si>
  <si>
    <t>AB</t>
  </si>
  <si>
    <t>TimeStamp</t>
  </si>
  <si>
    <r>
      <t xml:space="preserve">每次 </t>
    </r>
    <r>
      <rPr>
        <i/>
        <sz val="9"/>
        <color rgb="FF555555"/>
        <rFont val="Arial"/>
        <family val="2"/>
      </rPr>
      <t xml:space="preserve">walk </t>
    </r>
    <r>
      <rPr>
        <i/>
        <sz val="9"/>
        <color rgb="FF555555"/>
        <rFont val="Noto Sans CJK SC"/>
        <family val="2"/>
      </rPr>
      <t>进行中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>结束后当场填。黄色格</t>
    </r>
    <r>
      <rPr>
        <i/>
        <sz val="9"/>
        <color rgb="FF555555"/>
        <rFont val="Arial"/>
        <family val="2"/>
      </rPr>
      <t>=当场</t>
    </r>
    <r>
      <rPr>
        <i/>
        <sz val="9"/>
        <color rgb="FF555555"/>
        <rFont val="Noto Sans CJK SC"/>
        <family val="2"/>
      </rPr>
      <t>填；浅绿格</t>
    </r>
    <r>
      <rPr>
        <i/>
        <sz val="9"/>
        <color rgb="FF555555"/>
        <rFont val="Arial"/>
        <family val="2"/>
      </rPr>
      <t>=</t>
    </r>
    <r>
      <rPr>
        <i/>
        <sz val="9"/>
        <color rgb="FF555555"/>
        <rFont val="Noto Sans CJK SC"/>
        <family val="2"/>
      </rPr>
      <t>走后信号处理完才填。每列都对应全文要报告的一个数字。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</si>
</sst>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4"/>
      <name val="Noto Sans CJK SC"/>
      <family val="2"/>
    </font>
    <font>
      <i/>
      <sz val="9"/>
      <color rgb="FF555555"/>
      <name val="Noto Sans CJK SC"/>
      <family val="2"/>
    </font>
    <font>
      <i/>
      <sz val="9"/>
      <color rgb="FF555555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1F4E5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8"/>
      <color rgb="FF1F4E5F"/>
      <name val="Noto Sans CJK SC"/>
      <family val="2"/>
    </font>
    <font>
      <b/>
      <sz val="8"/>
      <color rgb="FF1F4E5F"/>
      <name val="Arial"/>
      <family val="2"/>
    </font>
    <font>
      <i/>
      <sz val="9"/>
      <name val="Arial"/>
      <family val="2"/>
    </font>
    <font>
      <i/>
      <sz val="9"/>
      <name val="Noto Sans CJK SC"/>
      <family val="2"/>
    </font>
    <font>
      <b/>
      <sz val="12"/>
      <color rgb="FF1F4E5F"/>
      <name val="Noto Sans CJK SC"/>
      <family val="2"/>
    </font>
    <font>
      <b/>
      <sz val="12"/>
      <color rgb="FF1F4E5F"/>
      <name val="Arial"/>
      <family val="2"/>
    </font>
    <font>
      <b/>
      <sz val="11"/>
      <color rgb="FF1F4E5F"/>
      <name val="Noto Sans CJK SC"/>
      <family val="2"/>
    </font>
    <font>
      <b/>
      <sz val="11"/>
      <color rgb="FF1F4E5F"/>
      <name val="Arial"/>
      <family val="2"/>
    </font>
    <font>
      <b/>
      <sz val="9"/>
      <color rgb="FF2E4600"/>
      <name val="Arial"/>
      <family val="2"/>
    </font>
    <font>
      <b/>
      <sz val="9"/>
      <color rgb="FF2E46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6E4EA"/>
        <bgColor rgb="FFE7F0D9"/>
      </patternFill>
    </fill>
    <fill>
      <patternFill patternType="solid">
        <fgColor rgb="FFEDEDED"/>
        <bgColor rgb="FFE7F0D9"/>
      </patternFill>
    </fill>
    <fill>
      <patternFill patternType="solid">
        <fgColor rgb="FFFFF7D6"/>
        <bgColor rgb="FFE7F0D9"/>
      </patternFill>
    </fill>
    <fill>
      <patternFill patternType="solid">
        <fgColor rgb="FFE7F0D9"/>
        <bgColor rgb="FFEDEDED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7" fillId="0" borderId="0" xfId="0" applyFont="1"/>
    <xf numFmtId="0" fontId="19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15" fillId="4" borderId="1" xfId="0" applyFont="1" applyFill="1" applyBorder="1"/>
    <xf numFmtId="0" fontId="16" fillId="4" borderId="1" xfId="0" applyFont="1" applyFill="1" applyBorder="1"/>
    <xf numFmtId="0" fontId="9" fillId="5" borderId="1" xfId="0" applyFont="1" applyFill="1" applyBorder="1"/>
    <xf numFmtId="0" fontId="9" fillId="0" borderId="1" xfId="0" applyFont="1" applyBorder="1"/>
    <xf numFmtId="0" fontId="17" fillId="0" borderId="0" xfId="0" applyFont="1"/>
    <xf numFmtId="0" fontId="6" fillId="0" borderId="0" xfId="0" applyFont="1"/>
    <xf numFmtId="0" fontId="15" fillId="0" borderId="1" xfId="0" applyFont="1" applyBorder="1"/>
    <xf numFmtId="0" fontId="8" fillId="0" borderId="0" xfId="0" applyFont="1"/>
    <xf numFmtId="2" fontId="7" fillId="0" borderId="0" xfId="0" applyNumberFormat="1" applyFont="1"/>
    <xf numFmtId="164" fontId="9" fillId="0" borderId="1" xfId="0" applyNumberFormat="1" applyFont="1" applyBorder="1"/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164" fontId="7" fillId="0" borderId="1" xfId="0" applyNumberFormat="1" applyFont="1" applyBorder="1"/>
    <xf numFmtId="0" fontId="9" fillId="6" borderId="1" xfId="0" applyFont="1" applyFill="1" applyBorder="1"/>
    <xf numFmtId="0" fontId="8" fillId="0" borderId="1" xfId="0" applyFont="1" applyBorder="1"/>
    <xf numFmtId="9" fontId="7" fillId="0" borderId="0" xfId="0" applyNumberFormat="1" applyFont="1"/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7D6"/>
      <rgbColor rgb="FFEDEDED"/>
      <rgbColor rgb="FF660066"/>
      <rgbColor rgb="FFFF8080"/>
      <rgbColor rgb="FF0066CC"/>
      <rgbColor rgb="FFD6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2E46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zoomScale="125" zoomScaleNormal="100" workbookViewId="0">
      <selection activeCell="C3" sqref="C3"/>
    </sheetView>
  </sheetViews>
  <sheetFormatPr baseColWidth="10" defaultColWidth="8.6640625" defaultRowHeight="15"/>
  <cols>
    <col min="1" max="1" width="3" customWidth="1"/>
    <col min="2" max="2" width="34" customWidth="1"/>
    <col min="3" max="3" width="64" customWidth="1"/>
  </cols>
  <sheetData>
    <row r="2" spans="2:3" ht="38">
      <c r="B2" s="4" t="s">
        <v>0</v>
      </c>
    </row>
    <row r="3" spans="2:3" ht="52">
      <c r="B3" s="5" t="s">
        <v>136</v>
      </c>
    </row>
    <row r="5" spans="2:3">
      <c r="B5" s="6" t="s">
        <v>1</v>
      </c>
    </row>
    <row r="6" spans="2:3">
      <c r="B6" s="7" t="s">
        <v>2</v>
      </c>
      <c r="C6" s="8" t="s">
        <v>3</v>
      </c>
    </row>
    <row r="7" spans="2:3" ht="28">
      <c r="B7" s="7" t="s">
        <v>4</v>
      </c>
      <c r="C7" s="8" t="s">
        <v>5</v>
      </c>
    </row>
    <row r="8" spans="2:3" ht="42">
      <c r="B8" s="7" t="s">
        <v>6</v>
      </c>
      <c r="C8" s="8" t="s">
        <v>7</v>
      </c>
    </row>
    <row r="9" spans="2:3">
      <c r="B9" s="7" t="s">
        <v>8</v>
      </c>
      <c r="C9" s="8" t="s">
        <v>9</v>
      </c>
    </row>
    <row r="11" spans="2:3">
      <c r="B11" s="6" t="s">
        <v>10</v>
      </c>
    </row>
    <row r="12" spans="2:3">
      <c r="B12" s="6" t="s">
        <v>11</v>
      </c>
      <c r="C12" s="8" t="s">
        <v>12</v>
      </c>
    </row>
    <row r="13" spans="2:3">
      <c r="B13" s="6" t="s">
        <v>13</v>
      </c>
      <c r="C13" s="8" t="s">
        <v>14</v>
      </c>
    </row>
    <row r="14" spans="2:3" ht="28">
      <c r="B14" s="6" t="s">
        <v>15</v>
      </c>
      <c r="C14" s="8" t="s">
        <v>16</v>
      </c>
    </row>
    <row r="15" spans="2:3">
      <c r="B15" s="6" t="s">
        <v>17</v>
      </c>
      <c r="C15" s="9" t="s">
        <v>18</v>
      </c>
    </row>
    <row r="17" spans="2:2">
      <c r="B1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1"/>
  <sheetViews>
    <sheetView showGridLines="0" zoomScaleNormal="100" workbookViewId="0">
      <pane ySplit="2" topLeftCell="A3" activePane="bottomLeft" state="frozen"/>
      <selection pane="bottomLeft" activeCell="H2" sqref="H2"/>
    </sheetView>
  </sheetViews>
  <sheetFormatPr baseColWidth="10" defaultColWidth="8.6640625" defaultRowHeight="15"/>
  <cols>
    <col min="1" max="1" width="11" customWidth="1"/>
    <col min="2" max="3" width="8" customWidth="1"/>
    <col min="4" max="6" width="9" customWidth="1"/>
    <col min="7" max="7" width="9.1640625" customWidth="1"/>
    <col min="8" max="8" width="11" customWidth="1"/>
    <col min="9" max="9" width="10" customWidth="1"/>
    <col min="10" max="10" width="9" customWidth="1"/>
    <col min="11" max="11" width="12" customWidth="1"/>
    <col min="12" max="12" width="10" customWidth="1"/>
    <col min="13" max="13" width="11" customWidth="1"/>
    <col min="14" max="14" width="10" customWidth="1"/>
    <col min="15" max="16" width="11" customWidth="1"/>
    <col min="17" max="17" width="13" customWidth="1"/>
    <col min="18" max="18" width="14" customWidth="1"/>
    <col min="19" max="19" width="10" customWidth="1"/>
    <col min="20" max="21" width="11" customWidth="1"/>
    <col min="22" max="22" width="10" customWidth="1"/>
    <col min="23" max="23" width="8.33203125" customWidth="1"/>
    <col min="24" max="25" width="12" customWidth="1"/>
    <col min="26" max="26" width="9.6640625" customWidth="1"/>
    <col min="27" max="27" width="13" customWidth="1"/>
    <col min="28" max="29" width="11" customWidth="1"/>
    <col min="30" max="30" width="26" customWidth="1"/>
  </cols>
  <sheetData>
    <row r="1" spans="1:30" ht="42" customHeight="1">
      <c r="A1" s="11" t="s">
        <v>19</v>
      </c>
      <c r="B1" s="11" t="s">
        <v>20</v>
      </c>
      <c r="C1" s="12" t="s">
        <v>21</v>
      </c>
      <c r="D1" s="11" t="s">
        <v>22</v>
      </c>
      <c r="E1" s="11" t="s">
        <v>23</v>
      </c>
      <c r="F1" s="11" t="s">
        <v>24</v>
      </c>
      <c r="G1" s="13" t="s">
        <v>25</v>
      </c>
      <c r="H1" s="11" t="s">
        <v>26</v>
      </c>
      <c r="I1" s="12" t="s">
        <v>27</v>
      </c>
      <c r="J1" s="11" t="s">
        <v>28</v>
      </c>
      <c r="K1" s="11" t="s">
        <v>29</v>
      </c>
      <c r="L1" s="11" t="s">
        <v>30</v>
      </c>
      <c r="M1" s="13" t="s">
        <v>31</v>
      </c>
      <c r="N1" s="12" t="s">
        <v>32</v>
      </c>
      <c r="O1" s="12" t="s">
        <v>33</v>
      </c>
      <c r="P1" s="12" t="s">
        <v>34</v>
      </c>
      <c r="Q1" s="11" t="s">
        <v>35</v>
      </c>
      <c r="R1" s="11" t="s">
        <v>36</v>
      </c>
      <c r="S1" s="12" t="s">
        <v>37</v>
      </c>
      <c r="T1" s="12" t="s">
        <v>38</v>
      </c>
      <c r="U1" s="12" t="s">
        <v>39</v>
      </c>
      <c r="V1" s="12" t="s">
        <v>40</v>
      </c>
      <c r="W1" s="13" t="s">
        <v>41</v>
      </c>
      <c r="X1" s="11" t="s">
        <v>42</v>
      </c>
      <c r="Y1" s="12" t="s">
        <v>43</v>
      </c>
      <c r="Z1" s="13" t="s">
        <v>44</v>
      </c>
      <c r="AA1" s="11" t="s">
        <v>45</v>
      </c>
      <c r="AB1" s="11" t="s">
        <v>46</v>
      </c>
      <c r="AC1" s="11" t="s">
        <v>47</v>
      </c>
      <c r="AD1" s="11" t="s">
        <v>48</v>
      </c>
    </row>
    <row r="2" spans="1:30">
      <c r="A2" s="14" t="s">
        <v>49</v>
      </c>
      <c r="B2" s="14" t="s">
        <v>50</v>
      </c>
      <c r="C2" s="5" t="s">
        <v>51</v>
      </c>
      <c r="D2" s="5" t="s">
        <v>52</v>
      </c>
      <c r="E2" s="14" t="s">
        <v>53</v>
      </c>
      <c r="F2" s="5" t="s">
        <v>54</v>
      </c>
      <c r="G2" s="5"/>
      <c r="H2" s="5" t="s">
        <v>55</v>
      </c>
      <c r="I2" s="5"/>
      <c r="J2" s="5"/>
      <c r="K2" s="5"/>
      <c r="L2" s="5"/>
      <c r="M2" s="5"/>
      <c r="N2" s="14" t="s">
        <v>56</v>
      </c>
      <c r="O2" s="5"/>
      <c r="P2" s="5"/>
      <c r="Q2" s="14" t="s">
        <v>57</v>
      </c>
      <c r="R2" s="5"/>
      <c r="S2" s="14" t="s">
        <v>58</v>
      </c>
      <c r="T2" s="5"/>
      <c r="U2" s="5" t="s">
        <v>59</v>
      </c>
      <c r="V2" s="5"/>
      <c r="W2" s="5"/>
      <c r="X2" s="14" t="s">
        <v>56</v>
      </c>
      <c r="Y2" s="14" t="s">
        <v>56</v>
      </c>
      <c r="Z2" s="5"/>
      <c r="AA2" s="5"/>
      <c r="AB2" s="5"/>
      <c r="AC2" s="5"/>
      <c r="AD2" s="5"/>
    </row>
    <row r="3" spans="1:30">
      <c r="A3" s="15" t="s">
        <v>60</v>
      </c>
      <c r="B3" s="15" t="s">
        <v>61</v>
      </c>
      <c r="C3" s="15" t="s">
        <v>62</v>
      </c>
      <c r="D3" s="16" t="s">
        <v>63</v>
      </c>
      <c r="E3" s="15" t="s">
        <v>64</v>
      </c>
      <c r="F3" s="15" t="s">
        <v>65</v>
      </c>
      <c r="G3" s="15"/>
      <c r="H3" s="15">
        <v>6.5</v>
      </c>
      <c r="I3" s="15">
        <v>7</v>
      </c>
      <c r="J3" s="15">
        <v>27</v>
      </c>
      <c r="K3" s="15">
        <v>13</v>
      </c>
      <c r="L3" s="15">
        <v>1</v>
      </c>
      <c r="M3" s="15"/>
      <c r="N3" s="15" t="s">
        <v>66</v>
      </c>
      <c r="O3" s="15">
        <v>96</v>
      </c>
      <c r="P3" s="15">
        <v>4</v>
      </c>
      <c r="Q3" s="15" t="s">
        <v>66</v>
      </c>
      <c r="R3" s="15">
        <v>92</v>
      </c>
      <c r="S3" s="15" t="s">
        <v>66</v>
      </c>
      <c r="T3" s="15">
        <v>78</v>
      </c>
      <c r="U3" s="15">
        <v>22</v>
      </c>
      <c r="V3" s="15" t="s">
        <v>66</v>
      </c>
      <c r="W3" s="15"/>
      <c r="X3" s="15" t="s">
        <v>66</v>
      </c>
      <c r="Y3" s="15" t="s">
        <v>66</v>
      </c>
      <c r="Z3" s="15"/>
      <c r="AA3" s="15">
        <v>6</v>
      </c>
      <c r="AB3" s="15">
        <v>6</v>
      </c>
      <c r="AC3" s="15">
        <v>5</v>
      </c>
      <c r="AD3" s="16" t="s">
        <v>67</v>
      </c>
    </row>
    <row r="4" spans="1:30">
      <c r="A4" s="17"/>
      <c r="B4" s="17"/>
      <c r="C4" s="17"/>
      <c r="D4" s="17"/>
      <c r="E4" s="17"/>
      <c r="F4" s="17"/>
      <c r="G4" s="18"/>
      <c r="H4" s="17"/>
      <c r="I4" s="17"/>
      <c r="J4" s="17"/>
      <c r="K4" s="17"/>
      <c r="L4" s="17"/>
      <c r="M4" s="18"/>
      <c r="N4" s="17"/>
      <c r="O4" s="17"/>
      <c r="P4" s="17"/>
      <c r="Q4" s="17"/>
      <c r="R4" s="17"/>
      <c r="S4" s="17"/>
      <c r="T4" s="17"/>
      <c r="U4" s="17"/>
      <c r="V4" s="17"/>
      <c r="W4" s="18"/>
      <c r="X4" s="17"/>
      <c r="Y4" s="17"/>
      <c r="Z4" s="18"/>
      <c r="AA4" s="17"/>
      <c r="AB4" s="17"/>
      <c r="AC4" s="17"/>
      <c r="AD4" s="17"/>
    </row>
    <row r="5" spans="1:30">
      <c r="A5" s="17"/>
      <c r="B5" s="17"/>
      <c r="C5" s="17"/>
      <c r="D5" s="17"/>
      <c r="E5" s="17"/>
      <c r="F5" s="17"/>
      <c r="G5" s="18"/>
      <c r="H5" s="17"/>
      <c r="I5" s="17"/>
      <c r="J5" s="17"/>
      <c r="K5" s="17"/>
      <c r="L5" s="17"/>
      <c r="M5" s="18"/>
      <c r="N5" s="17"/>
      <c r="O5" s="17"/>
      <c r="P5" s="17"/>
      <c r="Q5" s="17"/>
      <c r="R5" s="17"/>
      <c r="S5" s="17"/>
      <c r="T5" s="17"/>
      <c r="U5" s="17"/>
      <c r="V5" s="17"/>
      <c r="W5" s="18"/>
      <c r="X5" s="17"/>
      <c r="Y5" s="17"/>
      <c r="Z5" s="18"/>
      <c r="AA5" s="17"/>
      <c r="AB5" s="17"/>
      <c r="AC5" s="17"/>
      <c r="AD5" s="17"/>
    </row>
    <row r="6" spans="1:30">
      <c r="A6" s="17"/>
      <c r="B6" s="17"/>
      <c r="C6" s="17"/>
      <c r="D6" s="17"/>
      <c r="E6" s="17"/>
      <c r="F6" s="17"/>
      <c r="G6" s="18"/>
      <c r="H6" s="17"/>
      <c r="I6" s="17"/>
      <c r="J6" s="17"/>
      <c r="K6" s="17"/>
      <c r="L6" s="17"/>
      <c r="M6" s="18"/>
      <c r="N6" s="17"/>
      <c r="O6" s="17"/>
      <c r="P6" s="17"/>
      <c r="Q6" s="17"/>
      <c r="R6" s="17"/>
      <c r="S6" s="17"/>
      <c r="T6" s="17"/>
      <c r="U6" s="17"/>
      <c r="V6" s="17"/>
      <c r="W6" s="18"/>
      <c r="X6" s="17"/>
      <c r="Y6" s="17"/>
      <c r="Z6" s="18"/>
      <c r="AA6" s="17"/>
      <c r="AB6" s="17"/>
      <c r="AC6" s="17"/>
      <c r="AD6" s="17"/>
    </row>
    <row r="7" spans="1:30">
      <c r="A7" s="17"/>
      <c r="B7" s="17"/>
      <c r="C7" s="17"/>
      <c r="D7" s="17"/>
      <c r="E7" s="17"/>
      <c r="F7" s="17"/>
      <c r="G7" s="18"/>
      <c r="H7" s="17"/>
      <c r="I7" s="17"/>
      <c r="J7" s="17"/>
      <c r="K7" s="17"/>
      <c r="L7" s="17"/>
      <c r="M7" s="18"/>
      <c r="N7" s="17"/>
      <c r="O7" s="17"/>
      <c r="P7" s="17"/>
      <c r="Q7" s="17"/>
      <c r="R7" s="17"/>
      <c r="S7" s="17"/>
      <c r="T7" s="17"/>
      <c r="U7" s="17"/>
      <c r="V7" s="17"/>
      <c r="W7" s="18"/>
      <c r="X7" s="17"/>
      <c r="Y7" s="17"/>
      <c r="Z7" s="18"/>
      <c r="AA7" s="17"/>
      <c r="AB7" s="17"/>
      <c r="AC7" s="17"/>
      <c r="AD7" s="17"/>
    </row>
    <row r="8" spans="1:30">
      <c r="A8" s="17"/>
      <c r="B8" s="17"/>
      <c r="C8" s="17"/>
      <c r="D8" s="17"/>
      <c r="E8" s="17"/>
      <c r="F8" s="17"/>
      <c r="G8" s="18"/>
      <c r="H8" s="17"/>
      <c r="I8" s="17"/>
      <c r="J8" s="17"/>
      <c r="K8" s="17"/>
      <c r="L8" s="17"/>
      <c r="M8" s="18"/>
      <c r="N8" s="17"/>
      <c r="O8" s="17"/>
      <c r="P8" s="17"/>
      <c r="Q8" s="17"/>
      <c r="R8" s="17"/>
      <c r="S8" s="17"/>
      <c r="T8" s="17"/>
      <c r="U8" s="17"/>
      <c r="V8" s="17"/>
      <c r="W8" s="18"/>
      <c r="X8" s="17"/>
      <c r="Y8" s="17"/>
      <c r="Z8" s="18"/>
      <c r="AA8" s="17"/>
      <c r="AB8" s="17"/>
      <c r="AC8" s="17"/>
      <c r="AD8" s="17"/>
    </row>
    <row r="9" spans="1:30">
      <c r="A9" s="17"/>
      <c r="B9" s="17"/>
      <c r="C9" s="17"/>
      <c r="D9" s="17"/>
      <c r="E9" s="17"/>
      <c r="F9" s="17"/>
      <c r="G9" s="18"/>
      <c r="H9" s="17"/>
      <c r="I9" s="17"/>
      <c r="J9" s="17"/>
      <c r="K9" s="17"/>
      <c r="L9" s="17"/>
      <c r="M9" s="18"/>
      <c r="N9" s="17"/>
      <c r="O9" s="17"/>
      <c r="P9" s="17"/>
      <c r="Q9" s="17"/>
      <c r="R9" s="17"/>
      <c r="S9" s="17"/>
      <c r="T9" s="17"/>
      <c r="U9" s="17"/>
      <c r="V9" s="17"/>
      <c r="W9" s="18"/>
      <c r="X9" s="17"/>
      <c r="Y9" s="17"/>
      <c r="Z9" s="18"/>
      <c r="AA9" s="17"/>
      <c r="AB9" s="17"/>
      <c r="AC9" s="17"/>
      <c r="AD9" s="17"/>
    </row>
    <row r="10" spans="1:30">
      <c r="A10" s="17"/>
      <c r="B10" s="17"/>
      <c r="C10" s="17"/>
      <c r="D10" s="17"/>
      <c r="E10" s="17"/>
      <c r="F10" s="17"/>
      <c r="G10" s="18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7"/>
      <c r="Y10" s="17"/>
      <c r="Z10" s="18"/>
      <c r="AA10" s="17"/>
      <c r="AB10" s="17"/>
      <c r="AC10" s="17"/>
      <c r="AD10" s="17"/>
    </row>
    <row r="11" spans="1:30">
      <c r="A11" s="17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8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17"/>
      <c r="Y11" s="17"/>
      <c r="Z11" s="18"/>
      <c r="AA11" s="17"/>
      <c r="AB11" s="17"/>
      <c r="AC11" s="17"/>
      <c r="AD11" s="17"/>
    </row>
    <row r="12" spans="1:30">
      <c r="A12" s="17"/>
      <c r="B12" s="17"/>
      <c r="C12" s="17"/>
      <c r="D12" s="17"/>
      <c r="E12" s="17"/>
      <c r="F12" s="17"/>
      <c r="G12" s="18"/>
      <c r="H12" s="17"/>
      <c r="I12" s="17"/>
      <c r="J12" s="17"/>
      <c r="K12" s="17"/>
      <c r="L12" s="17"/>
      <c r="M12" s="18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7"/>
      <c r="Y12" s="17"/>
      <c r="Z12" s="18"/>
      <c r="AA12" s="17"/>
      <c r="AB12" s="17"/>
      <c r="AC12" s="17"/>
      <c r="AD12" s="17"/>
    </row>
    <row r="13" spans="1:30">
      <c r="A13" s="17"/>
      <c r="B13" s="17"/>
      <c r="C13" s="17"/>
      <c r="D13" s="17"/>
      <c r="E13" s="17"/>
      <c r="F13" s="17"/>
      <c r="G13" s="18"/>
      <c r="H13" s="17"/>
      <c r="I13" s="17"/>
      <c r="J13" s="17"/>
      <c r="K13" s="17"/>
      <c r="L13" s="17"/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7"/>
      <c r="Y13" s="17"/>
      <c r="Z13" s="18"/>
      <c r="AA13" s="17"/>
      <c r="AB13" s="17"/>
      <c r="AC13" s="17"/>
      <c r="AD13" s="17"/>
    </row>
    <row r="14" spans="1:30">
      <c r="A14" s="17"/>
      <c r="B14" s="17"/>
      <c r="C14" s="17"/>
      <c r="D14" s="17"/>
      <c r="E14" s="17"/>
      <c r="F14" s="17"/>
      <c r="G14" s="18"/>
      <c r="H14" s="17"/>
      <c r="I14" s="17"/>
      <c r="J14" s="17"/>
      <c r="K14" s="17"/>
      <c r="L14" s="17"/>
      <c r="M14" s="18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7"/>
      <c r="Y14" s="17"/>
      <c r="Z14" s="18"/>
      <c r="AA14" s="17"/>
      <c r="AB14" s="17"/>
      <c r="AC14" s="17"/>
      <c r="AD14" s="17"/>
    </row>
    <row r="15" spans="1:30">
      <c r="A15" s="17"/>
      <c r="B15" s="17"/>
      <c r="C15" s="17"/>
      <c r="D15" s="17"/>
      <c r="E15" s="17"/>
      <c r="F15" s="17"/>
      <c r="G15" s="18"/>
      <c r="H15" s="17"/>
      <c r="I15" s="17"/>
      <c r="J15" s="17"/>
      <c r="K15" s="17"/>
      <c r="L15" s="17"/>
      <c r="M15" s="18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7"/>
      <c r="Y15" s="17"/>
      <c r="Z15" s="18"/>
      <c r="AA15" s="17"/>
      <c r="AB15" s="17"/>
      <c r="AC15" s="17"/>
      <c r="AD15" s="17"/>
    </row>
    <row r="16" spans="1:30">
      <c r="A16" s="17"/>
      <c r="B16" s="17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7"/>
      <c r="Y16" s="17"/>
      <c r="Z16" s="18"/>
      <c r="AA16" s="17"/>
      <c r="AB16" s="17"/>
      <c r="AC16" s="17"/>
      <c r="AD16" s="17"/>
    </row>
    <row r="17" spans="1:30">
      <c r="A17" s="17"/>
      <c r="B17" s="17"/>
      <c r="C17" s="17"/>
      <c r="D17" s="17"/>
      <c r="E17" s="17"/>
      <c r="F17" s="17"/>
      <c r="G17" s="18"/>
      <c r="H17" s="17"/>
      <c r="I17" s="17"/>
      <c r="J17" s="17"/>
      <c r="K17" s="17"/>
      <c r="L17" s="17"/>
      <c r="M17" s="18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7"/>
      <c r="Y17" s="17"/>
      <c r="Z17" s="18"/>
      <c r="AA17" s="17"/>
      <c r="AB17" s="17"/>
      <c r="AC17" s="17"/>
      <c r="AD17" s="17"/>
    </row>
    <row r="18" spans="1:30">
      <c r="A18" s="17"/>
      <c r="B18" s="17"/>
      <c r="C18" s="17"/>
      <c r="D18" s="17"/>
      <c r="E18" s="17"/>
      <c r="F18" s="17"/>
      <c r="G18" s="18"/>
      <c r="H18" s="17"/>
      <c r="I18" s="17"/>
      <c r="J18" s="17"/>
      <c r="K18" s="17"/>
      <c r="L18" s="17"/>
      <c r="M18" s="18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7"/>
      <c r="Y18" s="17"/>
      <c r="Z18" s="18"/>
      <c r="AA18" s="17"/>
      <c r="AB18" s="17"/>
      <c r="AC18" s="17"/>
      <c r="AD18" s="17"/>
    </row>
    <row r="19" spans="1:30">
      <c r="A19" s="17"/>
      <c r="B19" s="17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8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7"/>
      <c r="Y19" s="17"/>
      <c r="Z19" s="18"/>
      <c r="AA19" s="17"/>
      <c r="AB19" s="17"/>
      <c r="AC19" s="17"/>
      <c r="AD19" s="17"/>
    </row>
    <row r="20" spans="1:30">
      <c r="A20" s="17"/>
      <c r="B20" s="17"/>
      <c r="C20" s="17"/>
      <c r="D20" s="17"/>
      <c r="E20" s="17"/>
      <c r="F20" s="17"/>
      <c r="G20" s="18"/>
      <c r="H20" s="17"/>
      <c r="I20" s="17"/>
      <c r="J20" s="17"/>
      <c r="K20" s="17"/>
      <c r="L20" s="17"/>
      <c r="M20" s="18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7"/>
      <c r="Y20" s="17"/>
      <c r="Z20" s="18"/>
      <c r="AA20" s="17"/>
      <c r="AB20" s="17"/>
      <c r="AC20" s="17"/>
      <c r="AD20" s="17"/>
    </row>
    <row r="21" spans="1:30">
      <c r="A21" s="17"/>
      <c r="B21" s="17"/>
      <c r="C21" s="17"/>
      <c r="D21" s="17"/>
      <c r="E21" s="17"/>
      <c r="F21" s="17"/>
      <c r="G21" s="18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7"/>
      <c r="Y21" s="17"/>
      <c r="Z21" s="18"/>
      <c r="AA21" s="17"/>
      <c r="AB21" s="17"/>
      <c r="AC21" s="17"/>
      <c r="AD21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showGridLines="0" zoomScaleNormal="100" workbookViewId="0">
      <selection activeCell="K8" sqref="K8"/>
    </sheetView>
  </sheetViews>
  <sheetFormatPr baseColWidth="10" defaultColWidth="8.6640625" defaultRowHeight="15"/>
  <cols>
    <col min="1" max="1" width="11" customWidth="1"/>
    <col min="2" max="2" width="8" customWidth="1"/>
    <col min="3" max="3" width="12" customWidth="1"/>
    <col min="4" max="4" width="15" customWidth="1"/>
    <col min="5" max="5" width="13" customWidth="1"/>
    <col min="6" max="6" width="15" customWidth="1"/>
    <col min="7" max="7" width="12" customWidth="1"/>
    <col min="8" max="8" width="8" customWidth="1"/>
    <col min="9" max="9" width="11.1640625" customWidth="1"/>
    <col min="10" max="10" width="20" customWidth="1"/>
    <col min="12" max="12" width="18" customWidth="1"/>
    <col min="13" max="13" width="12" customWidth="1"/>
  </cols>
  <sheetData>
    <row r="1" spans="1:13" ht="16">
      <c r="A1" s="19" t="s">
        <v>68</v>
      </c>
    </row>
    <row r="2" spans="1:13" ht="25.5" customHeight="1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</row>
    <row r="4" spans="1:13" ht="37.5" customHeight="1">
      <c r="A4" s="11" t="s">
        <v>70</v>
      </c>
      <c r="B4" s="12" t="s">
        <v>21</v>
      </c>
      <c r="C4" s="11" t="s">
        <v>71</v>
      </c>
      <c r="D4" s="11" t="s">
        <v>72</v>
      </c>
      <c r="E4" s="12" t="s">
        <v>73</v>
      </c>
      <c r="F4" s="12" t="s">
        <v>74</v>
      </c>
      <c r="G4" s="12" t="s">
        <v>75</v>
      </c>
      <c r="H4" s="12" t="s">
        <v>76</v>
      </c>
      <c r="I4" s="12" t="s">
        <v>135</v>
      </c>
      <c r="J4" s="11" t="s">
        <v>77</v>
      </c>
      <c r="L4" s="20" t="s">
        <v>78</v>
      </c>
    </row>
    <row r="5" spans="1:13">
      <c r="A5" s="15" t="s">
        <v>60</v>
      </c>
      <c r="B5" s="15" t="s">
        <v>62</v>
      </c>
      <c r="C5" s="16" t="s">
        <v>79</v>
      </c>
      <c r="D5" s="15">
        <v>50401.2</v>
      </c>
      <c r="E5" s="15">
        <v>50401</v>
      </c>
      <c r="F5" s="15">
        <v>50401.8</v>
      </c>
      <c r="G5" s="15">
        <v>50400.9</v>
      </c>
      <c r="H5" s="15" t="s">
        <v>66</v>
      </c>
      <c r="I5" s="15"/>
      <c r="J5" s="21">
        <f t="shared" ref="J5:J29" si="0">IF(COUNT(D5:G5)&gt;1,MAX(D5:G5)-MIN(D5:G5),"")</f>
        <v>0.90000000000145519</v>
      </c>
      <c r="L5" s="22" t="s">
        <v>80</v>
      </c>
      <c r="M5" s="23">
        <f>IFERROR(AVERAGE(J5:J29),"")</f>
        <v>0.90000000000145519</v>
      </c>
    </row>
    <row r="6" spans="1:13">
      <c r="A6" s="17"/>
      <c r="B6" s="17"/>
      <c r="C6" s="17"/>
      <c r="D6" s="17"/>
      <c r="E6" s="17"/>
      <c r="F6" s="17"/>
      <c r="G6" s="17"/>
      <c r="H6" s="17"/>
      <c r="I6" s="17"/>
      <c r="J6" s="24" t="str">
        <f t="shared" si="0"/>
        <v/>
      </c>
      <c r="L6" s="22" t="s">
        <v>81</v>
      </c>
      <c r="M6" s="23">
        <f>IFERROR(MAX(J5:J29),"")</f>
        <v>0.90000000000145519</v>
      </c>
    </row>
    <row r="7" spans="1:13">
      <c r="A7" s="17"/>
      <c r="B7" s="17"/>
      <c r="C7" s="17"/>
      <c r="D7" s="17"/>
      <c r="E7" s="17"/>
      <c r="F7" s="17"/>
      <c r="G7" s="17"/>
      <c r="H7" s="17"/>
      <c r="I7" s="17"/>
      <c r="J7" s="24" t="str">
        <f t="shared" si="0"/>
        <v/>
      </c>
      <c r="L7" s="22" t="s">
        <v>82</v>
      </c>
      <c r="M7" s="20">
        <f>COUNT(J5:J29)</f>
        <v>1</v>
      </c>
    </row>
    <row r="8" spans="1:13">
      <c r="A8" s="17"/>
      <c r="B8" s="17"/>
      <c r="C8" s="17"/>
      <c r="D8" s="17"/>
      <c r="E8" s="17"/>
      <c r="F8" s="17"/>
      <c r="G8" s="17"/>
      <c r="H8" s="17"/>
      <c r="I8" s="17"/>
      <c r="J8" s="24" t="str">
        <f t="shared" si="0"/>
        <v/>
      </c>
    </row>
    <row r="9" spans="1:13">
      <c r="A9" s="17"/>
      <c r="B9" s="17"/>
      <c r="C9" s="17"/>
      <c r="D9" s="17"/>
      <c r="E9" s="17"/>
      <c r="F9" s="17"/>
      <c r="G9" s="17"/>
      <c r="H9" s="17"/>
      <c r="I9" s="17"/>
      <c r="J9" s="24" t="str">
        <f t="shared" si="0"/>
        <v/>
      </c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  <c r="J10" s="24" t="str">
        <f t="shared" si="0"/>
        <v/>
      </c>
    </row>
    <row r="11" spans="1:13">
      <c r="A11" s="17"/>
      <c r="B11" s="17"/>
      <c r="C11" s="17"/>
      <c r="D11" s="17"/>
      <c r="E11" s="17"/>
      <c r="F11" s="17"/>
      <c r="G11" s="17"/>
      <c r="H11" s="17"/>
      <c r="I11" s="17"/>
      <c r="J11" s="24" t="str">
        <f t="shared" si="0"/>
        <v/>
      </c>
    </row>
    <row r="12" spans="1:13">
      <c r="A12" s="17"/>
      <c r="B12" s="17"/>
      <c r="C12" s="17"/>
      <c r="D12" s="17"/>
      <c r="E12" s="17"/>
      <c r="F12" s="17"/>
      <c r="G12" s="17"/>
      <c r="H12" s="17"/>
      <c r="I12" s="17"/>
      <c r="J12" s="24" t="str">
        <f t="shared" si="0"/>
        <v/>
      </c>
    </row>
    <row r="13" spans="1:13">
      <c r="A13" s="17"/>
      <c r="B13" s="17"/>
      <c r="C13" s="17"/>
      <c r="D13" s="17"/>
      <c r="E13" s="17"/>
      <c r="F13" s="17"/>
      <c r="G13" s="17"/>
      <c r="H13" s="17"/>
      <c r="I13" s="17"/>
      <c r="J13" s="24" t="str">
        <f t="shared" si="0"/>
        <v/>
      </c>
    </row>
    <row r="14" spans="1:13">
      <c r="A14" s="17"/>
      <c r="B14" s="17"/>
      <c r="C14" s="17"/>
      <c r="D14" s="17"/>
      <c r="E14" s="17"/>
      <c r="F14" s="17"/>
      <c r="G14" s="17"/>
      <c r="H14" s="17"/>
      <c r="I14" s="17"/>
      <c r="J14" s="24" t="str">
        <f t="shared" si="0"/>
        <v/>
      </c>
    </row>
    <row r="15" spans="1:13">
      <c r="A15" s="17"/>
      <c r="B15" s="17"/>
      <c r="C15" s="17"/>
      <c r="D15" s="17"/>
      <c r="E15" s="17"/>
      <c r="F15" s="17"/>
      <c r="G15" s="17"/>
      <c r="H15" s="17"/>
      <c r="I15" s="17"/>
      <c r="J15" s="24" t="str">
        <f t="shared" si="0"/>
        <v/>
      </c>
    </row>
    <row r="16" spans="1:13">
      <c r="A16" s="17"/>
      <c r="B16" s="17"/>
      <c r="C16" s="17"/>
      <c r="D16" s="17"/>
      <c r="E16" s="17"/>
      <c r="F16" s="17"/>
      <c r="G16" s="17"/>
      <c r="H16" s="17"/>
      <c r="I16" s="17"/>
      <c r="J16" s="24" t="str">
        <f t="shared" si="0"/>
        <v/>
      </c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24" t="str">
        <f t="shared" si="0"/>
        <v/>
      </c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24" t="str">
        <f t="shared" si="0"/>
        <v/>
      </c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24" t="str">
        <f t="shared" si="0"/>
        <v/>
      </c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24" t="str">
        <f t="shared" si="0"/>
        <v/>
      </c>
    </row>
    <row r="21" spans="1:10">
      <c r="A21" s="17"/>
      <c r="B21" s="17"/>
      <c r="C21" s="17"/>
      <c r="D21" s="17"/>
      <c r="E21" s="17"/>
      <c r="F21" s="17"/>
      <c r="G21" s="17"/>
      <c r="H21" s="17"/>
      <c r="I21" s="17"/>
      <c r="J21" s="24" t="str">
        <f t="shared" si="0"/>
        <v/>
      </c>
    </row>
    <row r="22" spans="1:10">
      <c r="A22" s="17"/>
      <c r="B22" s="17"/>
      <c r="C22" s="17"/>
      <c r="D22" s="17"/>
      <c r="E22" s="17"/>
      <c r="F22" s="17"/>
      <c r="G22" s="17"/>
      <c r="H22" s="17"/>
      <c r="I22" s="17"/>
      <c r="J22" s="24" t="str">
        <f t="shared" si="0"/>
        <v/>
      </c>
    </row>
    <row r="23" spans="1:10">
      <c r="A23" s="17"/>
      <c r="B23" s="17"/>
      <c r="C23" s="17"/>
      <c r="D23" s="17"/>
      <c r="E23" s="17"/>
      <c r="F23" s="17"/>
      <c r="G23" s="17"/>
      <c r="H23" s="17"/>
      <c r="I23" s="17"/>
      <c r="J23" s="24" t="str">
        <f t="shared" si="0"/>
        <v/>
      </c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  <c r="J24" s="24" t="str">
        <f t="shared" si="0"/>
        <v/>
      </c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  <c r="J25" s="24" t="str">
        <f t="shared" si="0"/>
        <v/>
      </c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  <c r="J26" s="24" t="str">
        <f t="shared" si="0"/>
        <v/>
      </c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  <c r="J27" s="24" t="str">
        <f t="shared" si="0"/>
        <v/>
      </c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  <c r="J28" s="24" t="str">
        <f t="shared" si="0"/>
        <v/>
      </c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  <c r="J29" s="24" t="str">
        <f t="shared" si="0"/>
        <v/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"/>
  <sheetViews>
    <sheetView showGridLines="0" zoomScaleNormal="100" workbookViewId="0">
      <pane ySplit="3" topLeftCell="A4" activePane="bottomLeft" state="frozen"/>
      <selection pane="bottomLeft" activeCell="C5" sqref="C5"/>
    </sheetView>
  </sheetViews>
  <sheetFormatPr baseColWidth="10" defaultColWidth="8.6640625" defaultRowHeight="15"/>
  <cols>
    <col min="1" max="1" width="10" customWidth="1"/>
    <col min="2" max="2" width="7" customWidth="1"/>
    <col min="3" max="4" width="8" customWidth="1"/>
    <col min="5" max="5" width="11" customWidth="1"/>
    <col min="6" max="8" width="10" customWidth="1"/>
    <col min="9" max="9" width="11" customWidth="1"/>
    <col min="10" max="12" width="10" customWidth="1"/>
    <col min="13" max="13" width="8" customWidth="1"/>
    <col min="14" max="17" width="7" customWidth="1"/>
    <col min="18" max="18" width="11" customWidth="1"/>
    <col min="19" max="19" width="34" customWidth="1"/>
    <col min="21" max="21" width="14" customWidth="1"/>
    <col min="22" max="24" width="12" customWidth="1"/>
  </cols>
  <sheetData>
    <row r="1" spans="1:24">
      <c r="A1" s="2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4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4" ht="39.75" customHeight="1">
      <c r="A3" s="11" t="s">
        <v>70</v>
      </c>
      <c r="B3" s="12" t="s">
        <v>21</v>
      </c>
      <c r="C3" s="11" t="s">
        <v>22</v>
      </c>
      <c r="D3" s="11" t="s">
        <v>85</v>
      </c>
      <c r="E3" s="11" t="s">
        <v>86</v>
      </c>
      <c r="F3" s="25" t="s">
        <v>87</v>
      </c>
      <c r="G3" s="25" t="s">
        <v>88</v>
      </c>
      <c r="H3" s="26" t="s">
        <v>89</v>
      </c>
      <c r="I3" s="25" t="s">
        <v>90</v>
      </c>
      <c r="J3" s="25" t="s">
        <v>91</v>
      </c>
      <c r="K3" s="11" t="s">
        <v>92</v>
      </c>
      <c r="L3" s="11" t="s">
        <v>93</v>
      </c>
      <c r="M3" s="35" t="s">
        <v>133</v>
      </c>
      <c r="N3" s="36"/>
      <c r="O3" s="36"/>
      <c r="P3" s="36"/>
      <c r="Q3" s="37"/>
      <c r="R3" s="11" t="s">
        <v>94</v>
      </c>
      <c r="S3" s="11" t="s">
        <v>95</v>
      </c>
      <c r="U3" s="27" t="s">
        <v>96</v>
      </c>
      <c r="V3" s="27" t="s">
        <v>97</v>
      </c>
      <c r="W3" s="27" t="s">
        <v>98</v>
      </c>
      <c r="X3" s="27" t="s">
        <v>99</v>
      </c>
    </row>
    <row r="4" spans="1:24">
      <c r="A4" s="15" t="s">
        <v>60</v>
      </c>
      <c r="B4" s="15" t="s">
        <v>62</v>
      </c>
      <c r="C4" s="16" t="s">
        <v>134</v>
      </c>
      <c r="D4" s="15" t="s">
        <v>100</v>
      </c>
      <c r="E4" s="16" t="s">
        <v>101</v>
      </c>
      <c r="F4" s="15">
        <v>8.1999999999999993</v>
      </c>
      <c r="G4" s="15">
        <v>11</v>
      </c>
      <c r="H4" s="15">
        <v>92</v>
      </c>
      <c r="I4" s="15">
        <v>34</v>
      </c>
      <c r="J4" s="15">
        <v>0.71</v>
      </c>
      <c r="K4" s="15" t="s">
        <v>66</v>
      </c>
      <c r="L4" s="15" t="s">
        <v>66</v>
      </c>
      <c r="M4" s="38">
        <v>2</v>
      </c>
      <c r="N4" s="39"/>
      <c r="O4" s="39"/>
      <c r="P4" s="39"/>
      <c r="Q4" s="40"/>
      <c r="R4" s="15">
        <v>4</v>
      </c>
      <c r="S4" s="16" t="s">
        <v>102</v>
      </c>
      <c r="U4" s="18" t="s">
        <v>103</v>
      </c>
      <c r="V4" s="28" t="str">
        <f>IFERROR(AVERAGEIF($E$6:$E$99,"密集A",F$6:F$99),"")</f>
        <v/>
      </c>
      <c r="W4" s="28" t="str">
        <f>IFERROR(AVERAGEIF($E$6:$E$99,"绿地B",F$6:F$99),"")</f>
        <v/>
      </c>
      <c r="X4" s="28" t="str">
        <f t="shared" ref="X4:X11" si="0">IFERROR(V4-W4,"")</f>
        <v/>
      </c>
    </row>
    <row r="5" spans="1:24">
      <c r="A5" s="15" t="s">
        <v>60</v>
      </c>
      <c r="B5" s="15" t="s">
        <v>62</v>
      </c>
      <c r="C5" s="16" t="s">
        <v>134</v>
      </c>
      <c r="D5" s="15" t="s">
        <v>104</v>
      </c>
      <c r="E5" s="16" t="s">
        <v>105</v>
      </c>
      <c r="F5" s="15">
        <v>4.0999999999999996</v>
      </c>
      <c r="G5" s="15">
        <v>3</v>
      </c>
      <c r="H5" s="15">
        <v>78</v>
      </c>
      <c r="I5" s="15">
        <v>55</v>
      </c>
      <c r="J5" s="15">
        <v>0.38</v>
      </c>
      <c r="K5" s="15" t="s">
        <v>66</v>
      </c>
      <c r="L5" s="15" t="s">
        <v>66</v>
      </c>
      <c r="M5" s="38">
        <v>6</v>
      </c>
      <c r="N5" s="39"/>
      <c r="O5" s="39"/>
      <c r="P5" s="39"/>
      <c r="Q5" s="40"/>
      <c r="R5" s="15">
        <v>3</v>
      </c>
      <c r="S5" s="16" t="s">
        <v>106</v>
      </c>
      <c r="U5" s="18" t="s">
        <v>107</v>
      </c>
      <c r="V5" s="28" t="str">
        <f>IFERROR(AVERAGEIF($E$6:$E$99,"密集A",G$6:G$99),"")</f>
        <v/>
      </c>
      <c r="W5" s="28" t="str">
        <f>IFERROR(AVERAGEIF($E$6:$E$99,"绿地B",G$6:G$99),"")</f>
        <v/>
      </c>
      <c r="X5" s="28" t="str">
        <f t="shared" si="0"/>
        <v/>
      </c>
    </row>
    <row r="6" spans="1:24">
      <c r="A6" s="17"/>
      <c r="B6" s="17"/>
      <c r="C6" s="17"/>
      <c r="D6" s="17"/>
      <c r="E6" s="17"/>
      <c r="F6" s="29"/>
      <c r="G6" s="29"/>
      <c r="H6" s="29"/>
      <c r="I6" s="29"/>
      <c r="J6" s="29"/>
      <c r="K6" s="17"/>
      <c r="L6" s="17"/>
      <c r="M6" s="17"/>
      <c r="N6" s="17"/>
      <c r="O6" s="17"/>
      <c r="P6" s="17"/>
      <c r="Q6" s="17"/>
      <c r="R6" s="17"/>
      <c r="S6" s="17"/>
      <c r="U6" s="30" t="s">
        <v>89</v>
      </c>
      <c r="V6" s="28" t="str">
        <f>IFERROR(AVERAGEIF($E$6:$E$99,"密集A",H$6:H$99),"")</f>
        <v/>
      </c>
      <c r="W6" s="28" t="str">
        <f>IFERROR(AVERAGEIF($E$6:$E$99,"绿地B",H$6:H$99),"")</f>
        <v/>
      </c>
      <c r="X6" s="28" t="str">
        <f t="shared" si="0"/>
        <v/>
      </c>
    </row>
    <row r="7" spans="1:24">
      <c r="A7" s="17"/>
      <c r="B7" s="17"/>
      <c r="C7" s="17"/>
      <c r="D7" s="17"/>
      <c r="E7" s="17"/>
      <c r="F7" s="29"/>
      <c r="G7" s="29"/>
      <c r="H7" s="29"/>
      <c r="I7" s="29"/>
      <c r="J7" s="29"/>
      <c r="K7" s="17"/>
      <c r="L7" s="17"/>
      <c r="M7" s="17"/>
      <c r="N7" s="17"/>
      <c r="O7" s="17"/>
      <c r="P7" s="17"/>
      <c r="Q7" s="17"/>
      <c r="R7" s="17"/>
      <c r="S7" s="17"/>
      <c r="U7" s="18" t="s">
        <v>90</v>
      </c>
      <c r="V7" s="28" t="str">
        <f>IFERROR(AVERAGEIF($E$6:$E$99,"密集A",I$6:I$99),"")</f>
        <v/>
      </c>
      <c r="W7" s="28" t="str">
        <f>IFERROR(AVERAGEIF($E$6:$E$99,"绿地B",I$6:I$99),"")</f>
        <v/>
      </c>
      <c r="X7" s="28" t="str">
        <f t="shared" si="0"/>
        <v/>
      </c>
    </row>
    <row r="8" spans="1:24">
      <c r="A8" s="17"/>
      <c r="B8" s="17"/>
      <c r="C8" s="17"/>
      <c r="D8" s="17"/>
      <c r="E8" s="17"/>
      <c r="F8" s="29"/>
      <c r="G8" s="29"/>
      <c r="H8" s="29"/>
      <c r="I8" s="29"/>
      <c r="J8" s="29"/>
      <c r="K8" s="17"/>
      <c r="L8" s="17"/>
      <c r="M8" s="17"/>
      <c r="N8" s="17"/>
      <c r="O8" s="17"/>
      <c r="P8" s="17"/>
      <c r="Q8" s="17"/>
      <c r="R8" s="17"/>
      <c r="S8" s="17"/>
      <c r="U8" s="18" t="s">
        <v>108</v>
      </c>
      <c r="V8" s="28" t="str">
        <f>IFERROR(AVERAGEIF($E$6:$E$99,"密集A",J$6:J$99),"")</f>
        <v/>
      </c>
      <c r="W8" s="28" t="str">
        <f>IFERROR(AVERAGEIF($E$6:$E$99,"绿地B",J$6:J$99),"")</f>
        <v/>
      </c>
      <c r="X8" s="28" t="str">
        <f t="shared" si="0"/>
        <v/>
      </c>
    </row>
    <row r="9" spans="1:24">
      <c r="A9" s="17"/>
      <c r="B9" s="17"/>
      <c r="C9" s="17"/>
      <c r="D9" s="17"/>
      <c r="E9" s="17"/>
      <c r="F9" s="29"/>
      <c r="G9" s="29"/>
      <c r="H9" s="29"/>
      <c r="I9" s="29"/>
      <c r="J9" s="29"/>
      <c r="K9" s="17"/>
      <c r="L9" s="17"/>
      <c r="M9" s="17"/>
      <c r="N9" s="17"/>
      <c r="O9" s="17"/>
      <c r="P9" s="17"/>
      <c r="Q9" s="17"/>
      <c r="R9" s="17"/>
      <c r="S9" s="17"/>
      <c r="U9" s="30" t="s">
        <v>109</v>
      </c>
      <c r="V9" s="28" t="str">
        <f>IFERROR(AVERAGEIF($E$6:$E$99,"密集A",O$6:O$99),"")</f>
        <v/>
      </c>
      <c r="W9" s="28" t="str">
        <f>IFERROR(AVERAGEIF($E$6:$E$99,"绿地B",O$6:O$99),"")</f>
        <v/>
      </c>
      <c r="X9" s="28" t="str">
        <f t="shared" si="0"/>
        <v/>
      </c>
    </row>
    <row r="10" spans="1:24">
      <c r="A10" s="17"/>
      <c r="B10" s="17"/>
      <c r="C10" s="17"/>
      <c r="D10" s="17"/>
      <c r="E10" s="17"/>
      <c r="F10" s="29"/>
      <c r="G10" s="29"/>
      <c r="H10" s="29"/>
      <c r="I10" s="29"/>
      <c r="J10" s="29"/>
      <c r="K10" s="17"/>
      <c r="L10" s="17"/>
      <c r="M10" s="17"/>
      <c r="N10" s="17"/>
      <c r="O10" s="17"/>
      <c r="P10" s="17"/>
      <c r="Q10" s="17"/>
      <c r="R10" s="17"/>
      <c r="S10" s="17"/>
      <c r="U10" s="30" t="s">
        <v>110</v>
      </c>
      <c r="V10" s="28" t="str">
        <f>IFERROR(AVERAGEIF($E$6:$E$99,"密集A",P$6:P$99),"")</f>
        <v/>
      </c>
      <c r="W10" s="28" t="str">
        <f>IFERROR(AVERAGEIF($E$6:$E$99,"绿地B",P$6:P$99),"")</f>
        <v/>
      </c>
      <c r="X10" s="28" t="str">
        <f t="shared" si="0"/>
        <v/>
      </c>
    </row>
    <row r="11" spans="1:24">
      <c r="A11" s="17"/>
      <c r="B11" s="17"/>
      <c r="C11" s="17"/>
      <c r="D11" s="17"/>
      <c r="E11" s="17"/>
      <c r="F11" s="29"/>
      <c r="G11" s="29"/>
      <c r="H11" s="29"/>
      <c r="I11" s="29"/>
      <c r="J11" s="29"/>
      <c r="K11" s="17"/>
      <c r="L11" s="17"/>
      <c r="M11" s="17"/>
      <c r="N11" s="17"/>
      <c r="O11" s="17"/>
      <c r="P11" s="17"/>
      <c r="Q11" s="17"/>
      <c r="R11" s="17"/>
      <c r="S11" s="17"/>
      <c r="U11" s="30" t="s">
        <v>111</v>
      </c>
      <c r="V11" s="28" t="str">
        <f>IFERROR(AVERAGEIF($E$6:$E$99,"密集A",M$6:M$99),"")</f>
        <v/>
      </c>
      <c r="W11" s="28" t="str">
        <f>IFERROR(AVERAGEIF($E$6:$E$99,"绿地B",M$6:M$99),"")</f>
        <v/>
      </c>
      <c r="X11" s="28" t="str">
        <f t="shared" si="0"/>
        <v/>
      </c>
    </row>
    <row r="12" spans="1:24">
      <c r="A12" s="17"/>
      <c r="B12" s="17"/>
      <c r="C12" s="17"/>
      <c r="D12" s="17"/>
      <c r="E12" s="17"/>
      <c r="F12" s="29"/>
      <c r="G12" s="29"/>
      <c r="H12" s="29"/>
      <c r="I12" s="29"/>
      <c r="J12" s="29"/>
      <c r="K12" s="17"/>
      <c r="L12" s="17"/>
      <c r="M12" s="17"/>
      <c r="N12" s="17"/>
      <c r="O12" s="17"/>
      <c r="P12" s="17"/>
      <c r="Q12" s="17"/>
      <c r="R12" s="17"/>
      <c r="S12" s="17"/>
    </row>
    <row r="13" spans="1:24">
      <c r="A13" s="17"/>
      <c r="B13" s="17"/>
      <c r="C13" s="17"/>
      <c r="D13" s="17"/>
      <c r="E13" s="17"/>
      <c r="F13" s="29"/>
      <c r="G13" s="29"/>
      <c r="H13" s="29"/>
      <c r="I13" s="29"/>
      <c r="J13" s="29"/>
      <c r="K13" s="17"/>
      <c r="L13" s="17"/>
      <c r="M13" s="17"/>
      <c r="N13" s="17"/>
      <c r="O13" s="17"/>
      <c r="P13" s="17"/>
      <c r="Q13" s="17"/>
      <c r="R13" s="17"/>
      <c r="S13" s="17"/>
      <c r="U13" s="22" t="s">
        <v>112</v>
      </c>
      <c r="V13" s="31" t="str">
        <f>IFERROR(COUNTIF(L6:L99,"Y")/COUNTA(L6:L99),"")</f>
        <v/>
      </c>
    </row>
    <row r="14" spans="1:24">
      <c r="A14" s="17"/>
      <c r="B14" s="17"/>
      <c r="C14" s="17"/>
      <c r="D14" s="17"/>
      <c r="E14" s="17"/>
      <c r="F14" s="29"/>
      <c r="G14" s="29"/>
      <c r="H14" s="29"/>
      <c r="I14" s="29"/>
      <c r="J14" s="29"/>
      <c r="K14" s="17"/>
      <c r="L14" s="17"/>
      <c r="M14" s="17"/>
      <c r="N14" s="17"/>
      <c r="O14" s="17"/>
      <c r="P14" s="17"/>
      <c r="Q14" s="17"/>
      <c r="R14" s="17"/>
      <c r="S14" s="17"/>
      <c r="U14" s="22" t="s">
        <v>113</v>
      </c>
      <c r="V14" s="31" t="str">
        <f>IFERROR(COUNTIF(K6:K99,"Y")/COUNTA(K6:K99),"")</f>
        <v/>
      </c>
    </row>
    <row r="15" spans="1:24">
      <c r="A15" s="17"/>
      <c r="B15" s="17"/>
      <c r="C15" s="17"/>
      <c r="D15" s="17"/>
      <c r="E15" s="17"/>
      <c r="F15" s="29"/>
      <c r="G15" s="29"/>
      <c r="H15" s="29"/>
      <c r="I15" s="29"/>
      <c r="J15" s="29"/>
      <c r="K15" s="17"/>
      <c r="L15" s="17"/>
      <c r="M15" s="17"/>
      <c r="N15" s="17"/>
      <c r="O15" s="17"/>
      <c r="P15" s="17"/>
      <c r="Q15" s="17"/>
      <c r="R15" s="17"/>
      <c r="S15" s="17"/>
    </row>
    <row r="16" spans="1:24">
      <c r="A16" s="17"/>
      <c r="B16" s="17"/>
      <c r="C16" s="17"/>
      <c r="D16" s="17"/>
      <c r="E16" s="17"/>
      <c r="F16" s="29"/>
      <c r="G16" s="29"/>
      <c r="H16" s="29"/>
      <c r="I16" s="29"/>
      <c r="J16" s="29"/>
      <c r="K16" s="17"/>
      <c r="L16" s="17"/>
      <c r="M16" s="17"/>
      <c r="N16" s="17"/>
      <c r="O16" s="17"/>
      <c r="P16" s="17"/>
      <c r="Q16" s="17"/>
      <c r="R16" s="17"/>
      <c r="S16" s="17"/>
    </row>
    <row r="17" spans="1:19">
      <c r="A17" s="17"/>
      <c r="B17" s="17"/>
      <c r="C17" s="17"/>
      <c r="D17" s="17"/>
      <c r="E17" s="17"/>
      <c r="F17" s="29"/>
      <c r="G17" s="29"/>
      <c r="H17" s="29"/>
      <c r="I17" s="29"/>
      <c r="J17" s="29"/>
      <c r="K17" s="17"/>
      <c r="L17" s="17"/>
      <c r="M17" s="17"/>
      <c r="N17" s="17"/>
      <c r="O17" s="17"/>
      <c r="P17" s="17"/>
      <c r="Q17" s="17"/>
      <c r="R17" s="17"/>
      <c r="S17" s="17"/>
    </row>
    <row r="18" spans="1:19">
      <c r="A18" s="17"/>
      <c r="B18" s="17"/>
      <c r="C18" s="17"/>
      <c r="D18" s="17"/>
      <c r="E18" s="17"/>
      <c r="F18" s="29"/>
      <c r="G18" s="29"/>
      <c r="H18" s="29"/>
      <c r="I18" s="29"/>
      <c r="J18" s="29"/>
      <c r="K18" s="17"/>
      <c r="L18" s="17"/>
      <c r="M18" s="17"/>
      <c r="N18" s="17"/>
      <c r="O18" s="17"/>
      <c r="P18" s="17"/>
      <c r="Q18" s="17"/>
      <c r="R18" s="17"/>
      <c r="S18" s="17"/>
    </row>
    <row r="19" spans="1:19">
      <c r="A19" s="17"/>
      <c r="B19" s="17"/>
      <c r="C19" s="17"/>
      <c r="D19" s="17"/>
      <c r="E19" s="17"/>
      <c r="F19" s="29"/>
      <c r="G19" s="29"/>
      <c r="H19" s="29"/>
      <c r="I19" s="29"/>
      <c r="J19" s="29"/>
      <c r="K19" s="17"/>
      <c r="L19" s="17"/>
      <c r="M19" s="17"/>
      <c r="N19" s="17"/>
      <c r="O19" s="17"/>
      <c r="P19" s="17"/>
      <c r="Q19" s="17"/>
      <c r="R19" s="17"/>
      <c r="S19" s="17"/>
    </row>
    <row r="20" spans="1:19">
      <c r="A20" s="17"/>
      <c r="B20" s="17"/>
      <c r="C20" s="17"/>
      <c r="D20" s="17"/>
      <c r="E20" s="17"/>
      <c r="F20" s="29"/>
      <c r="G20" s="29"/>
      <c r="H20" s="29"/>
      <c r="I20" s="29"/>
      <c r="J20" s="29"/>
      <c r="K20" s="17"/>
      <c r="L20" s="17"/>
      <c r="M20" s="17"/>
      <c r="N20" s="17"/>
      <c r="O20" s="17"/>
      <c r="P20" s="17"/>
      <c r="Q20" s="17"/>
      <c r="R20" s="17"/>
      <c r="S20" s="17"/>
    </row>
    <row r="21" spans="1:19">
      <c r="A21" s="17"/>
      <c r="B21" s="17"/>
      <c r="C21" s="17"/>
      <c r="D21" s="17"/>
      <c r="E21" s="17"/>
      <c r="F21" s="29"/>
      <c r="G21" s="29"/>
      <c r="H21" s="29"/>
      <c r="I21" s="29"/>
      <c r="J21" s="29"/>
      <c r="K21" s="17"/>
      <c r="L21" s="17"/>
      <c r="M21" s="17"/>
      <c r="N21" s="17"/>
      <c r="O21" s="17"/>
      <c r="P21" s="17"/>
      <c r="Q21" s="17"/>
      <c r="R21" s="17"/>
      <c r="S21" s="17"/>
    </row>
    <row r="22" spans="1:19">
      <c r="A22" s="17"/>
      <c r="B22" s="17"/>
      <c r="C22" s="17"/>
      <c r="D22" s="17"/>
      <c r="E22" s="17"/>
      <c r="F22" s="29"/>
      <c r="G22" s="29"/>
      <c r="H22" s="29"/>
      <c r="I22" s="29"/>
      <c r="J22" s="29"/>
      <c r="K22" s="17"/>
      <c r="L22" s="17"/>
      <c r="M22" s="17"/>
      <c r="N22" s="17"/>
      <c r="O22" s="17"/>
      <c r="P22" s="17"/>
      <c r="Q22" s="17"/>
      <c r="R22" s="17"/>
      <c r="S22" s="17"/>
    </row>
    <row r="23" spans="1:19">
      <c r="A23" s="17"/>
      <c r="B23" s="17"/>
      <c r="C23" s="17"/>
      <c r="D23" s="17"/>
      <c r="E23" s="17"/>
      <c r="F23" s="29"/>
      <c r="G23" s="29"/>
      <c r="H23" s="29"/>
      <c r="I23" s="29"/>
      <c r="J23" s="29"/>
      <c r="K23" s="17"/>
      <c r="L23" s="17"/>
      <c r="M23" s="17"/>
      <c r="N23" s="17"/>
      <c r="O23" s="17"/>
      <c r="P23" s="17"/>
      <c r="Q23" s="17"/>
      <c r="R23" s="17"/>
      <c r="S23" s="17"/>
    </row>
    <row r="24" spans="1:19">
      <c r="A24" s="17"/>
      <c r="B24" s="17"/>
      <c r="C24" s="17"/>
      <c r="D24" s="17"/>
      <c r="E24" s="17"/>
      <c r="F24" s="29"/>
      <c r="G24" s="29"/>
      <c r="H24" s="29"/>
      <c r="I24" s="29"/>
      <c r="J24" s="29"/>
      <c r="K24" s="17"/>
      <c r="L24" s="17"/>
      <c r="M24" s="17"/>
      <c r="N24" s="17"/>
      <c r="O24" s="17"/>
      <c r="P24" s="17"/>
      <c r="Q24" s="17"/>
      <c r="R24" s="17"/>
      <c r="S24" s="17"/>
    </row>
    <row r="25" spans="1:19">
      <c r="A25" s="17"/>
      <c r="B25" s="17"/>
      <c r="C25" s="17"/>
      <c r="D25" s="17"/>
      <c r="E25" s="17"/>
      <c r="F25" s="29"/>
      <c r="G25" s="29"/>
      <c r="H25" s="29"/>
      <c r="I25" s="29"/>
      <c r="J25" s="29"/>
      <c r="K25" s="17"/>
      <c r="L25" s="17"/>
      <c r="M25" s="17"/>
      <c r="N25" s="17"/>
      <c r="O25" s="17"/>
      <c r="P25" s="17"/>
      <c r="Q25" s="17"/>
      <c r="R25" s="17"/>
      <c r="S25" s="17"/>
    </row>
    <row r="26" spans="1:19">
      <c r="A26" s="17"/>
      <c r="B26" s="17"/>
      <c r="C26" s="17"/>
      <c r="D26" s="17"/>
      <c r="E26" s="17"/>
      <c r="F26" s="29"/>
      <c r="G26" s="29"/>
      <c r="H26" s="29"/>
      <c r="I26" s="29"/>
      <c r="J26" s="29"/>
      <c r="K26" s="17"/>
      <c r="L26" s="17"/>
      <c r="M26" s="17"/>
      <c r="N26" s="17"/>
      <c r="O26" s="17"/>
      <c r="P26" s="17"/>
      <c r="Q26" s="17"/>
      <c r="R26" s="17"/>
      <c r="S26" s="17"/>
    </row>
    <row r="27" spans="1:19">
      <c r="A27" s="17"/>
      <c r="B27" s="17"/>
      <c r="C27" s="17"/>
      <c r="D27" s="17"/>
      <c r="E27" s="17"/>
      <c r="F27" s="29"/>
      <c r="G27" s="29"/>
      <c r="H27" s="29"/>
      <c r="I27" s="29"/>
      <c r="J27" s="29"/>
      <c r="K27" s="17"/>
      <c r="L27" s="17"/>
      <c r="M27" s="17"/>
      <c r="N27" s="17"/>
      <c r="O27" s="17"/>
      <c r="P27" s="17"/>
      <c r="Q27" s="17"/>
      <c r="R27" s="17"/>
      <c r="S27" s="17"/>
    </row>
    <row r="28" spans="1:19">
      <c r="A28" s="17"/>
      <c r="B28" s="17"/>
      <c r="C28" s="17"/>
      <c r="D28" s="17"/>
      <c r="E28" s="17"/>
      <c r="F28" s="29"/>
      <c r="G28" s="29"/>
      <c r="H28" s="29"/>
      <c r="I28" s="29"/>
      <c r="J28" s="29"/>
      <c r="K28" s="17"/>
      <c r="L28" s="17"/>
      <c r="M28" s="17"/>
      <c r="N28" s="17"/>
      <c r="O28" s="17"/>
      <c r="P28" s="17"/>
      <c r="Q28" s="17"/>
      <c r="R28" s="17"/>
      <c r="S28" s="17"/>
    </row>
    <row r="29" spans="1:19">
      <c r="A29" s="17"/>
      <c r="B29" s="17"/>
      <c r="C29" s="17"/>
      <c r="D29" s="17"/>
      <c r="E29" s="17"/>
      <c r="F29" s="29"/>
      <c r="G29" s="29"/>
      <c r="H29" s="29"/>
      <c r="I29" s="29"/>
      <c r="J29" s="29"/>
      <c r="K29" s="17"/>
      <c r="L29" s="17"/>
      <c r="M29" s="17"/>
      <c r="N29" s="17"/>
      <c r="O29" s="17"/>
      <c r="P29" s="17"/>
      <c r="Q29" s="17"/>
      <c r="R29" s="17"/>
      <c r="S29" s="17"/>
    </row>
    <row r="30" spans="1:19">
      <c r="A30" s="17"/>
      <c r="B30" s="17"/>
      <c r="C30" s="17"/>
      <c r="D30" s="17"/>
      <c r="E30" s="17"/>
      <c r="F30" s="29"/>
      <c r="G30" s="29"/>
      <c r="H30" s="29"/>
      <c r="I30" s="29"/>
      <c r="J30" s="29"/>
      <c r="K30" s="17"/>
      <c r="L30" s="17"/>
      <c r="M30" s="17"/>
      <c r="N30" s="17"/>
      <c r="O30" s="17"/>
      <c r="P30" s="17"/>
      <c r="Q30" s="17"/>
      <c r="R30" s="17"/>
      <c r="S30" s="17"/>
    </row>
    <row r="31" spans="1:19">
      <c r="A31" s="17"/>
      <c r="B31" s="17"/>
      <c r="C31" s="17"/>
      <c r="D31" s="17"/>
      <c r="E31" s="17"/>
      <c r="F31" s="29"/>
      <c r="G31" s="29"/>
      <c r="H31" s="29"/>
      <c r="I31" s="29"/>
      <c r="J31" s="29"/>
      <c r="K31" s="17"/>
      <c r="L31" s="17"/>
      <c r="M31" s="17"/>
      <c r="N31" s="17"/>
      <c r="O31" s="17"/>
      <c r="P31" s="17"/>
      <c r="Q31" s="17"/>
      <c r="R31" s="17"/>
      <c r="S31" s="17"/>
    </row>
    <row r="32" spans="1:19">
      <c r="A32" s="17"/>
      <c r="B32" s="17"/>
      <c r="C32" s="17"/>
      <c r="D32" s="17"/>
      <c r="E32" s="17"/>
      <c r="F32" s="29"/>
      <c r="G32" s="29"/>
      <c r="H32" s="29"/>
      <c r="I32" s="29"/>
      <c r="J32" s="29"/>
      <c r="K32" s="17"/>
      <c r="L32" s="17"/>
      <c r="M32" s="17"/>
      <c r="N32" s="17"/>
      <c r="O32" s="17"/>
      <c r="P32" s="17"/>
      <c r="Q32" s="17"/>
      <c r="R32" s="17"/>
      <c r="S32" s="17"/>
    </row>
    <row r="33" spans="1:19">
      <c r="A33" s="17"/>
      <c r="B33" s="17"/>
      <c r="C33" s="17"/>
      <c r="D33" s="17"/>
      <c r="E33" s="17"/>
      <c r="F33" s="29"/>
      <c r="G33" s="29"/>
      <c r="H33" s="29"/>
      <c r="I33" s="29"/>
      <c r="J33" s="29"/>
      <c r="K33" s="17"/>
      <c r="L33" s="17"/>
      <c r="M33" s="17"/>
      <c r="N33" s="17"/>
      <c r="O33" s="17"/>
      <c r="P33" s="17"/>
      <c r="Q33" s="17"/>
      <c r="R33" s="17"/>
      <c r="S33" s="17"/>
    </row>
    <row r="34" spans="1:19">
      <c r="A34" s="17"/>
      <c r="B34" s="17"/>
      <c r="C34" s="17"/>
      <c r="D34" s="17"/>
      <c r="E34" s="17"/>
      <c r="F34" s="29"/>
      <c r="G34" s="29"/>
      <c r="H34" s="29"/>
      <c r="I34" s="29"/>
      <c r="J34" s="29"/>
      <c r="K34" s="17"/>
      <c r="L34" s="17"/>
      <c r="M34" s="17"/>
      <c r="N34" s="17"/>
      <c r="O34" s="17"/>
      <c r="P34" s="17"/>
      <c r="Q34" s="17"/>
      <c r="R34" s="17"/>
      <c r="S34" s="17"/>
    </row>
    <row r="35" spans="1:19">
      <c r="A35" s="17"/>
      <c r="B35" s="17"/>
      <c r="C35" s="17"/>
      <c r="D35" s="17"/>
      <c r="E35" s="17"/>
      <c r="F35" s="29"/>
      <c r="G35" s="29"/>
      <c r="H35" s="29"/>
      <c r="I35" s="29"/>
      <c r="J35" s="29"/>
      <c r="K35" s="17"/>
      <c r="L35" s="17"/>
      <c r="M35" s="17"/>
      <c r="N35" s="17"/>
      <c r="O35" s="17"/>
      <c r="P35" s="17"/>
      <c r="Q35" s="17"/>
      <c r="R35" s="17"/>
      <c r="S35" s="17"/>
    </row>
    <row r="36" spans="1:19">
      <c r="A36" s="17"/>
      <c r="B36" s="17"/>
      <c r="C36" s="17"/>
      <c r="D36" s="17"/>
      <c r="E36" s="17"/>
      <c r="F36" s="29"/>
      <c r="G36" s="29"/>
      <c r="H36" s="29"/>
      <c r="I36" s="29"/>
      <c r="J36" s="29"/>
      <c r="K36" s="17"/>
      <c r="L36" s="17"/>
      <c r="M36" s="17"/>
      <c r="N36" s="17"/>
      <c r="O36" s="17"/>
      <c r="P36" s="17"/>
      <c r="Q36" s="17"/>
      <c r="R36" s="17"/>
      <c r="S36" s="17"/>
    </row>
    <row r="37" spans="1:19">
      <c r="A37" s="17"/>
      <c r="B37" s="17"/>
      <c r="C37" s="17"/>
      <c r="D37" s="17"/>
      <c r="E37" s="17"/>
      <c r="F37" s="29"/>
      <c r="G37" s="29"/>
      <c r="H37" s="29"/>
      <c r="I37" s="29"/>
      <c r="J37" s="29"/>
      <c r="K37" s="17"/>
      <c r="L37" s="17"/>
      <c r="M37" s="17"/>
      <c r="N37" s="17"/>
      <c r="O37" s="17"/>
      <c r="P37" s="17"/>
      <c r="Q37" s="17"/>
      <c r="R37" s="17"/>
      <c r="S37" s="17"/>
    </row>
    <row r="38" spans="1:19">
      <c r="A38" s="17"/>
      <c r="B38" s="17"/>
      <c r="C38" s="17"/>
      <c r="D38" s="17"/>
      <c r="E38" s="17"/>
      <c r="F38" s="29"/>
      <c r="G38" s="29"/>
      <c r="H38" s="29"/>
      <c r="I38" s="29"/>
      <c r="J38" s="29"/>
      <c r="K38" s="17"/>
      <c r="L38" s="17"/>
      <c r="M38" s="17"/>
      <c r="N38" s="17"/>
      <c r="O38" s="17"/>
      <c r="P38" s="17"/>
      <c r="Q38" s="17"/>
      <c r="R38" s="17"/>
      <c r="S38" s="17"/>
    </row>
    <row r="39" spans="1:19">
      <c r="A39" s="17"/>
      <c r="B39" s="17"/>
      <c r="C39" s="17"/>
      <c r="D39" s="17"/>
      <c r="E39" s="17"/>
      <c r="F39" s="29"/>
      <c r="G39" s="29"/>
      <c r="H39" s="29"/>
      <c r="I39" s="29"/>
      <c r="J39" s="29"/>
      <c r="K39" s="17"/>
      <c r="L39" s="17"/>
      <c r="M39" s="17"/>
      <c r="N39" s="17"/>
      <c r="O39" s="17"/>
      <c r="P39" s="17"/>
      <c r="Q39" s="17"/>
      <c r="R39" s="17"/>
      <c r="S39" s="17"/>
    </row>
    <row r="40" spans="1:19">
      <c r="A40" s="17"/>
      <c r="B40" s="17"/>
      <c r="C40" s="17"/>
      <c r="D40" s="17"/>
      <c r="E40" s="17"/>
      <c r="F40" s="29"/>
      <c r="G40" s="29"/>
      <c r="H40" s="29"/>
      <c r="I40" s="29"/>
      <c r="J40" s="29"/>
      <c r="K40" s="17"/>
      <c r="L40" s="17"/>
      <c r="M40" s="17"/>
      <c r="N40" s="17"/>
      <c r="O40" s="17"/>
      <c r="P40" s="17"/>
      <c r="Q40" s="17"/>
      <c r="R40" s="17"/>
      <c r="S40" s="17"/>
    </row>
    <row r="41" spans="1:19">
      <c r="A41" s="17"/>
      <c r="B41" s="17"/>
      <c r="C41" s="17"/>
      <c r="D41" s="17"/>
      <c r="E41" s="17"/>
      <c r="F41" s="29"/>
      <c r="G41" s="29"/>
      <c r="H41" s="29"/>
      <c r="I41" s="29"/>
      <c r="J41" s="29"/>
      <c r="K41" s="17"/>
      <c r="L41" s="17"/>
      <c r="M41" s="17"/>
      <c r="N41" s="17"/>
      <c r="O41" s="17"/>
      <c r="P41" s="17"/>
      <c r="Q41" s="17"/>
      <c r="R41" s="17"/>
      <c r="S41" s="17"/>
    </row>
    <row r="42" spans="1:19">
      <c r="A42" s="17"/>
      <c r="B42" s="17"/>
      <c r="C42" s="17"/>
      <c r="D42" s="17"/>
      <c r="E42" s="17"/>
      <c r="F42" s="29"/>
      <c r="G42" s="29"/>
      <c r="H42" s="29"/>
      <c r="I42" s="29"/>
      <c r="J42" s="29"/>
      <c r="K42" s="17"/>
      <c r="L42" s="17"/>
      <c r="M42" s="17"/>
      <c r="N42" s="17"/>
      <c r="O42" s="17"/>
      <c r="P42" s="17"/>
      <c r="Q42" s="17"/>
      <c r="R42" s="17"/>
      <c r="S42" s="17"/>
    </row>
    <row r="43" spans="1:19">
      <c r="A43" s="17"/>
      <c r="B43" s="17"/>
      <c r="C43" s="17"/>
      <c r="D43" s="17"/>
      <c r="E43" s="17"/>
      <c r="F43" s="29"/>
      <c r="G43" s="29"/>
      <c r="H43" s="29"/>
      <c r="I43" s="29"/>
      <c r="J43" s="29"/>
      <c r="K43" s="17"/>
      <c r="L43" s="17"/>
      <c r="M43" s="17"/>
      <c r="N43" s="17"/>
      <c r="O43" s="17"/>
      <c r="P43" s="17"/>
      <c r="Q43" s="17"/>
      <c r="R43" s="17"/>
      <c r="S43" s="17"/>
    </row>
    <row r="44" spans="1:19">
      <c r="A44" s="17"/>
      <c r="B44" s="17"/>
      <c r="C44" s="17"/>
      <c r="D44" s="17"/>
      <c r="E44" s="17"/>
      <c r="F44" s="29"/>
      <c r="G44" s="29"/>
      <c r="H44" s="29"/>
      <c r="I44" s="29"/>
      <c r="J44" s="29"/>
      <c r="K44" s="17"/>
      <c r="L44" s="17"/>
      <c r="M44" s="17"/>
      <c r="N44" s="17"/>
      <c r="O44" s="17"/>
      <c r="P44" s="17"/>
      <c r="Q44" s="17"/>
      <c r="R44" s="17"/>
      <c r="S44" s="17"/>
    </row>
    <row r="45" spans="1:19">
      <c r="A45" s="17"/>
      <c r="B45" s="17"/>
      <c r="C45" s="17"/>
      <c r="D45" s="17"/>
      <c r="E45" s="17"/>
      <c r="F45" s="29"/>
      <c r="G45" s="29"/>
      <c r="H45" s="29"/>
      <c r="I45" s="29"/>
      <c r="J45" s="29"/>
      <c r="K45" s="17"/>
      <c r="L45" s="17"/>
      <c r="M45" s="17"/>
      <c r="N45" s="17"/>
      <c r="O45" s="17"/>
      <c r="P45" s="17"/>
      <c r="Q45" s="17"/>
      <c r="R45" s="17"/>
      <c r="S45" s="17"/>
    </row>
    <row r="46" spans="1:19">
      <c r="A46" s="17"/>
      <c r="B46" s="17"/>
      <c r="C46" s="17"/>
      <c r="D46" s="17"/>
      <c r="E46" s="17"/>
      <c r="F46" s="29"/>
      <c r="G46" s="29"/>
      <c r="H46" s="29"/>
      <c r="I46" s="29"/>
      <c r="J46" s="29"/>
      <c r="K46" s="17"/>
      <c r="L46" s="17"/>
      <c r="M46" s="17"/>
      <c r="N46" s="17"/>
      <c r="O46" s="17"/>
      <c r="P46" s="17"/>
      <c r="Q46" s="17"/>
      <c r="R46" s="17"/>
      <c r="S46" s="17"/>
    </row>
    <row r="47" spans="1:19">
      <c r="A47" s="17"/>
      <c r="B47" s="17"/>
      <c r="C47" s="17"/>
      <c r="D47" s="17"/>
      <c r="E47" s="17"/>
      <c r="F47" s="29"/>
      <c r="G47" s="29"/>
      <c r="H47" s="29"/>
      <c r="I47" s="29"/>
      <c r="J47" s="29"/>
      <c r="K47" s="17"/>
      <c r="L47" s="17"/>
      <c r="M47" s="17"/>
      <c r="N47" s="17"/>
      <c r="O47" s="17"/>
      <c r="P47" s="17"/>
      <c r="Q47" s="17"/>
      <c r="R47" s="17"/>
      <c r="S47" s="17"/>
    </row>
    <row r="48" spans="1:19">
      <c r="A48" s="17"/>
      <c r="B48" s="17"/>
      <c r="C48" s="17"/>
      <c r="D48" s="17"/>
      <c r="E48" s="17"/>
      <c r="F48" s="29"/>
      <c r="G48" s="29"/>
      <c r="H48" s="29"/>
      <c r="I48" s="29"/>
      <c r="J48" s="29"/>
      <c r="K48" s="17"/>
      <c r="L48" s="17"/>
      <c r="M48" s="17"/>
      <c r="N48" s="17"/>
      <c r="O48" s="17"/>
      <c r="P48" s="17"/>
      <c r="Q48" s="17"/>
      <c r="R48" s="17"/>
      <c r="S48" s="17"/>
    </row>
    <row r="49" spans="1:19">
      <c r="A49" s="17"/>
      <c r="B49" s="17"/>
      <c r="C49" s="17"/>
      <c r="D49" s="17"/>
      <c r="E49" s="17"/>
      <c r="F49" s="29"/>
      <c r="G49" s="29"/>
      <c r="H49" s="29"/>
      <c r="I49" s="29"/>
      <c r="J49" s="29"/>
      <c r="K49" s="17"/>
      <c r="L49" s="17"/>
      <c r="M49" s="17"/>
      <c r="N49" s="17"/>
      <c r="O49" s="17"/>
      <c r="P49" s="17"/>
      <c r="Q49" s="17"/>
      <c r="R49" s="17"/>
      <c r="S49" s="17"/>
    </row>
    <row r="50" spans="1:19">
      <c r="A50" s="17"/>
      <c r="B50" s="17"/>
      <c r="C50" s="17"/>
      <c r="D50" s="17"/>
      <c r="E50" s="17"/>
      <c r="F50" s="29"/>
      <c r="G50" s="29"/>
      <c r="H50" s="29"/>
      <c r="I50" s="29"/>
      <c r="J50" s="29"/>
      <c r="K50" s="17"/>
      <c r="L50" s="17"/>
      <c r="M50" s="17"/>
      <c r="N50" s="17"/>
      <c r="O50" s="17"/>
      <c r="P50" s="17"/>
      <c r="Q50" s="17"/>
      <c r="R50" s="17"/>
      <c r="S50" s="17"/>
    </row>
    <row r="51" spans="1:19">
      <c r="A51" s="17"/>
      <c r="B51" s="17"/>
      <c r="C51" s="17"/>
      <c r="D51" s="17"/>
      <c r="E51" s="17"/>
      <c r="F51" s="29"/>
      <c r="G51" s="29"/>
      <c r="H51" s="29"/>
      <c r="I51" s="29"/>
      <c r="J51" s="29"/>
      <c r="K51" s="17"/>
      <c r="L51" s="17"/>
      <c r="M51" s="17"/>
      <c r="N51" s="17"/>
      <c r="O51" s="17"/>
      <c r="P51" s="17"/>
      <c r="Q51" s="17"/>
      <c r="R51" s="17"/>
      <c r="S51" s="17"/>
    </row>
    <row r="52" spans="1:19">
      <c r="A52" s="17"/>
      <c r="B52" s="17"/>
      <c r="C52" s="17"/>
      <c r="D52" s="17"/>
      <c r="E52" s="17"/>
      <c r="F52" s="29"/>
      <c r="G52" s="29"/>
      <c r="H52" s="29"/>
      <c r="I52" s="29"/>
      <c r="J52" s="29"/>
      <c r="K52" s="17"/>
      <c r="L52" s="17"/>
      <c r="M52" s="17"/>
      <c r="N52" s="17"/>
      <c r="O52" s="17"/>
      <c r="P52" s="17"/>
      <c r="Q52" s="17"/>
      <c r="R52" s="17"/>
      <c r="S52" s="17"/>
    </row>
    <row r="53" spans="1:19">
      <c r="A53" s="17"/>
      <c r="B53" s="17"/>
      <c r="C53" s="17"/>
      <c r="D53" s="17"/>
      <c r="E53" s="17"/>
      <c r="F53" s="29"/>
      <c r="G53" s="29"/>
      <c r="H53" s="29"/>
      <c r="I53" s="29"/>
      <c r="J53" s="29"/>
      <c r="K53" s="17"/>
      <c r="L53" s="17"/>
      <c r="M53" s="17"/>
      <c r="N53" s="17"/>
      <c r="O53" s="17"/>
      <c r="P53" s="17"/>
      <c r="Q53" s="17"/>
      <c r="R53" s="17"/>
      <c r="S53" s="17"/>
    </row>
    <row r="54" spans="1:19">
      <c r="A54" s="17"/>
      <c r="B54" s="17"/>
      <c r="C54" s="17"/>
      <c r="D54" s="17"/>
      <c r="E54" s="17"/>
      <c r="F54" s="29"/>
      <c r="G54" s="29"/>
      <c r="H54" s="29"/>
      <c r="I54" s="29"/>
      <c r="J54" s="29"/>
      <c r="K54" s="17"/>
      <c r="L54" s="17"/>
      <c r="M54" s="17"/>
      <c r="N54" s="17"/>
      <c r="O54" s="17"/>
      <c r="P54" s="17"/>
      <c r="Q54" s="17"/>
      <c r="R54" s="17"/>
      <c r="S54" s="17"/>
    </row>
    <row r="55" spans="1:19">
      <c r="A55" s="17"/>
      <c r="B55" s="17"/>
      <c r="C55" s="17"/>
      <c r="D55" s="17"/>
      <c r="E55" s="17"/>
      <c r="F55" s="29"/>
      <c r="G55" s="29"/>
      <c r="H55" s="29"/>
      <c r="I55" s="29"/>
      <c r="J55" s="29"/>
      <c r="K55" s="17"/>
      <c r="L55" s="17"/>
      <c r="M55" s="17"/>
      <c r="N55" s="17"/>
      <c r="O55" s="17"/>
      <c r="P55" s="17"/>
      <c r="Q55" s="17"/>
      <c r="R55" s="17"/>
      <c r="S55" s="17"/>
    </row>
    <row r="56" spans="1:19">
      <c r="A56" s="17"/>
      <c r="B56" s="17"/>
      <c r="C56" s="17"/>
      <c r="D56" s="17"/>
      <c r="E56" s="17"/>
      <c r="F56" s="29"/>
      <c r="G56" s="29"/>
      <c r="H56" s="29"/>
      <c r="I56" s="29"/>
      <c r="J56" s="29"/>
      <c r="K56" s="17"/>
      <c r="L56" s="17"/>
      <c r="M56" s="17"/>
      <c r="N56" s="17"/>
      <c r="O56" s="17"/>
      <c r="P56" s="17"/>
      <c r="Q56" s="17"/>
      <c r="R56" s="17"/>
      <c r="S56" s="17"/>
    </row>
    <row r="57" spans="1:19">
      <c r="A57" s="17"/>
      <c r="B57" s="17"/>
      <c r="C57" s="17"/>
      <c r="D57" s="17"/>
      <c r="E57" s="17"/>
      <c r="F57" s="29"/>
      <c r="G57" s="29"/>
      <c r="H57" s="29"/>
      <c r="I57" s="29"/>
      <c r="J57" s="29"/>
      <c r="K57" s="17"/>
      <c r="L57" s="17"/>
      <c r="M57" s="17"/>
      <c r="N57" s="17"/>
      <c r="O57" s="17"/>
      <c r="P57" s="17"/>
      <c r="Q57" s="17"/>
      <c r="R57" s="17"/>
      <c r="S57" s="17"/>
    </row>
    <row r="58" spans="1:19">
      <c r="A58" s="17"/>
      <c r="B58" s="17"/>
      <c r="C58" s="17"/>
      <c r="D58" s="17"/>
      <c r="E58" s="17"/>
      <c r="F58" s="29"/>
      <c r="G58" s="29"/>
      <c r="H58" s="29"/>
      <c r="I58" s="29"/>
      <c r="J58" s="29"/>
      <c r="K58" s="17"/>
      <c r="L58" s="17"/>
      <c r="M58" s="17"/>
      <c r="N58" s="17"/>
      <c r="O58" s="17"/>
      <c r="P58" s="17"/>
      <c r="Q58" s="17"/>
      <c r="R58" s="17"/>
      <c r="S58" s="17"/>
    </row>
    <row r="59" spans="1:19">
      <c r="A59" s="17"/>
      <c r="B59" s="17"/>
      <c r="C59" s="17"/>
      <c r="D59" s="17"/>
      <c r="E59" s="17"/>
      <c r="F59" s="29"/>
      <c r="G59" s="29"/>
      <c r="H59" s="29"/>
      <c r="I59" s="29"/>
      <c r="J59" s="29"/>
      <c r="K59" s="17"/>
      <c r="L59" s="17"/>
      <c r="M59" s="17"/>
      <c r="N59" s="17"/>
      <c r="O59" s="17"/>
      <c r="P59" s="17"/>
      <c r="Q59" s="17"/>
      <c r="R59" s="17"/>
      <c r="S59" s="17"/>
    </row>
    <row r="60" spans="1:19">
      <c r="A60" s="17"/>
      <c r="B60" s="17"/>
      <c r="C60" s="17"/>
      <c r="D60" s="17"/>
      <c r="E60" s="17"/>
      <c r="F60" s="29"/>
      <c r="G60" s="29"/>
      <c r="H60" s="29"/>
      <c r="I60" s="29"/>
      <c r="J60" s="29"/>
      <c r="K60" s="17"/>
      <c r="L60" s="17"/>
      <c r="M60" s="17"/>
      <c r="N60" s="17"/>
      <c r="O60" s="17"/>
      <c r="P60" s="17"/>
      <c r="Q60" s="17"/>
      <c r="R60" s="17"/>
      <c r="S60" s="17"/>
    </row>
    <row r="61" spans="1:19">
      <c r="A61" s="17"/>
      <c r="B61" s="17"/>
      <c r="C61" s="17"/>
      <c r="D61" s="17"/>
      <c r="E61" s="17"/>
      <c r="F61" s="29"/>
      <c r="G61" s="29"/>
      <c r="H61" s="29"/>
      <c r="I61" s="29"/>
      <c r="J61" s="29"/>
      <c r="K61" s="17"/>
      <c r="L61" s="17"/>
      <c r="M61" s="17"/>
      <c r="N61" s="17"/>
      <c r="O61" s="17"/>
      <c r="P61" s="17"/>
      <c r="Q61" s="17"/>
      <c r="R61" s="17"/>
      <c r="S61" s="17"/>
    </row>
    <row r="62" spans="1:19">
      <c r="A62" s="17"/>
      <c r="B62" s="17"/>
      <c r="C62" s="17"/>
      <c r="D62" s="17"/>
      <c r="E62" s="17"/>
      <c r="F62" s="29"/>
      <c r="G62" s="29"/>
      <c r="H62" s="29"/>
      <c r="I62" s="29"/>
      <c r="J62" s="29"/>
      <c r="K62" s="17"/>
      <c r="L62" s="17"/>
      <c r="M62" s="17"/>
      <c r="N62" s="17"/>
      <c r="O62" s="17"/>
      <c r="P62" s="17"/>
      <c r="Q62" s="17"/>
      <c r="R62" s="17"/>
      <c r="S62" s="17"/>
    </row>
    <row r="63" spans="1:19">
      <c r="A63" s="17"/>
      <c r="B63" s="17"/>
      <c r="C63" s="17"/>
      <c r="D63" s="17"/>
      <c r="E63" s="17"/>
      <c r="F63" s="29"/>
      <c r="G63" s="29"/>
      <c r="H63" s="29"/>
      <c r="I63" s="29"/>
      <c r="J63" s="29"/>
      <c r="K63" s="17"/>
      <c r="L63" s="17"/>
      <c r="M63" s="17"/>
      <c r="N63" s="17"/>
      <c r="O63" s="17"/>
      <c r="P63" s="17"/>
      <c r="Q63" s="17"/>
      <c r="R63" s="17"/>
      <c r="S63" s="17"/>
    </row>
    <row r="64" spans="1:19">
      <c r="A64" s="17"/>
      <c r="B64" s="17"/>
      <c r="C64" s="17"/>
      <c r="D64" s="17"/>
      <c r="E64" s="17"/>
      <c r="F64" s="29"/>
      <c r="G64" s="29"/>
      <c r="H64" s="29"/>
      <c r="I64" s="29"/>
      <c r="J64" s="29"/>
      <c r="K64" s="17"/>
      <c r="L64" s="17"/>
      <c r="M64" s="17"/>
      <c r="N64" s="17"/>
      <c r="O64" s="17"/>
      <c r="P64" s="17"/>
      <c r="Q64" s="17"/>
      <c r="R64" s="17"/>
      <c r="S64" s="17"/>
    </row>
    <row r="65" spans="1:19">
      <c r="A65" s="17"/>
      <c r="B65" s="17"/>
      <c r="C65" s="17"/>
      <c r="D65" s="17"/>
      <c r="E65" s="17"/>
      <c r="F65" s="29"/>
      <c r="G65" s="29"/>
      <c r="H65" s="29"/>
      <c r="I65" s="29"/>
      <c r="J65" s="29"/>
      <c r="K65" s="17"/>
      <c r="L65" s="17"/>
      <c r="M65" s="17"/>
      <c r="N65" s="17"/>
      <c r="O65" s="17"/>
      <c r="P65" s="17"/>
      <c r="Q65" s="17"/>
      <c r="R65" s="17"/>
      <c r="S65" s="17"/>
    </row>
    <row r="66" spans="1:19">
      <c r="A66" s="17"/>
      <c r="B66" s="17"/>
      <c r="C66" s="17"/>
      <c r="D66" s="17"/>
      <c r="E66" s="17"/>
      <c r="F66" s="29"/>
      <c r="G66" s="29"/>
      <c r="H66" s="29"/>
      <c r="I66" s="29"/>
      <c r="J66" s="29"/>
      <c r="K66" s="17"/>
      <c r="L66" s="17"/>
      <c r="M66" s="17"/>
      <c r="N66" s="17"/>
      <c r="O66" s="17"/>
      <c r="P66" s="17"/>
      <c r="Q66" s="17"/>
      <c r="R66" s="17"/>
      <c r="S66" s="17"/>
    </row>
    <row r="67" spans="1:19">
      <c r="A67" s="17"/>
      <c r="B67" s="17"/>
      <c r="C67" s="17"/>
      <c r="D67" s="17"/>
      <c r="E67" s="17"/>
      <c r="F67" s="29"/>
      <c r="G67" s="29"/>
      <c r="H67" s="29"/>
      <c r="I67" s="29"/>
      <c r="J67" s="29"/>
      <c r="K67" s="17"/>
      <c r="L67" s="17"/>
      <c r="M67" s="17"/>
      <c r="N67" s="17"/>
      <c r="O67" s="17"/>
      <c r="P67" s="17"/>
      <c r="Q67" s="17"/>
      <c r="R67" s="17"/>
      <c r="S67" s="17"/>
    </row>
    <row r="68" spans="1:19">
      <c r="A68" s="17"/>
      <c r="B68" s="17"/>
      <c r="C68" s="17"/>
      <c r="D68" s="17"/>
      <c r="E68" s="17"/>
      <c r="F68" s="29"/>
      <c r="G68" s="29"/>
      <c r="H68" s="29"/>
      <c r="I68" s="29"/>
      <c r="J68" s="29"/>
      <c r="K68" s="17"/>
      <c r="L68" s="17"/>
      <c r="M68" s="17"/>
      <c r="N68" s="17"/>
      <c r="O68" s="17"/>
      <c r="P68" s="17"/>
      <c r="Q68" s="17"/>
      <c r="R68" s="17"/>
      <c r="S68" s="17"/>
    </row>
    <row r="69" spans="1:19">
      <c r="A69" s="17"/>
      <c r="B69" s="17"/>
      <c r="C69" s="17"/>
      <c r="D69" s="17"/>
      <c r="E69" s="17"/>
      <c r="F69" s="29"/>
      <c r="G69" s="29"/>
      <c r="H69" s="29"/>
      <c r="I69" s="29"/>
      <c r="J69" s="29"/>
      <c r="K69" s="17"/>
      <c r="L69" s="17"/>
      <c r="M69" s="17"/>
      <c r="N69" s="17"/>
      <c r="O69" s="17"/>
      <c r="P69" s="17"/>
      <c r="Q69" s="17"/>
      <c r="R69" s="17"/>
      <c r="S69" s="17"/>
    </row>
    <row r="70" spans="1:19">
      <c r="A70" s="17"/>
      <c r="B70" s="17"/>
      <c r="C70" s="17"/>
      <c r="D70" s="17"/>
      <c r="E70" s="17"/>
      <c r="F70" s="29"/>
      <c r="G70" s="29"/>
      <c r="H70" s="29"/>
      <c r="I70" s="29"/>
      <c r="J70" s="29"/>
      <c r="K70" s="17"/>
      <c r="L70" s="17"/>
      <c r="M70" s="17"/>
      <c r="N70" s="17"/>
      <c r="O70" s="17"/>
      <c r="P70" s="17"/>
      <c r="Q70" s="17"/>
      <c r="R70" s="17"/>
      <c r="S70" s="17"/>
    </row>
    <row r="71" spans="1:19">
      <c r="A71" s="17"/>
      <c r="B71" s="17"/>
      <c r="C71" s="17"/>
      <c r="D71" s="17"/>
      <c r="E71" s="17"/>
      <c r="F71" s="29"/>
      <c r="G71" s="29"/>
      <c r="H71" s="29"/>
      <c r="I71" s="29"/>
      <c r="J71" s="29"/>
      <c r="K71" s="17"/>
      <c r="L71" s="17"/>
      <c r="M71" s="17"/>
      <c r="N71" s="17"/>
      <c r="O71" s="17"/>
      <c r="P71" s="17"/>
      <c r="Q71" s="17"/>
      <c r="R71" s="17"/>
      <c r="S71" s="17"/>
    </row>
    <row r="72" spans="1:19">
      <c r="A72" s="17"/>
      <c r="B72" s="17"/>
      <c r="C72" s="17"/>
      <c r="D72" s="17"/>
      <c r="E72" s="17"/>
      <c r="F72" s="29"/>
      <c r="G72" s="29"/>
      <c r="H72" s="29"/>
      <c r="I72" s="29"/>
      <c r="J72" s="29"/>
      <c r="K72" s="17"/>
      <c r="L72" s="17"/>
      <c r="M72" s="17"/>
      <c r="N72" s="17"/>
      <c r="O72" s="17"/>
      <c r="P72" s="17"/>
      <c r="Q72" s="17"/>
      <c r="R72" s="17"/>
      <c r="S72" s="17"/>
    </row>
    <row r="73" spans="1:19">
      <c r="A73" s="17"/>
      <c r="B73" s="17"/>
      <c r="C73" s="17"/>
      <c r="D73" s="17"/>
      <c r="E73" s="17"/>
      <c r="F73" s="29"/>
      <c r="G73" s="29"/>
      <c r="H73" s="29"/>
      <c r="I73" s="29"/>
      <c r="J73" s="29"/>
      <c r="K73" s="17"/>
      <c r="L73" s="17"/>
      <c r="M73" s="17"/>
      <c r="N73" s="17"/>
      <c r="O73" s="17"/>
      <c r="P73" s="17"/>
      <c r="Q73" s="17"/>
      <c r="R73" s="17"/>
      <c r="S73" s="17"/>
    </row>
    <row r="74" spans="1:19">
      <c r="A74" s="17"/>
      <c r="B74" s="17"/>
      <c r="C74" s="17"/>
      <c r="D74" s="17"/>
      <c r="E74" s="17"/>
      <c r="F74" s="29"/>
      <c r="G74" s="29"/>
      <c r="H74" s="29"/>
      <c r="I74" s="29"/>
      <c r="J74" s="29"/>
      <c r="K74" s="17"/>
      <c r="L74" s="17"/>
      <c r="M74" s="17"/>
      <c r="N74" s="17"/>
      <c r="O74" s="17"/>
      <c r="P74" s="17"/>
      <c r="Q74" s="17"/>
      <c r="R74" s="17"/>
      <c r="S74" s="17"/>
    </row>
    <row r="75" spans="1:19">
      <c r="A75" s="17"/>
      <c r="B75" s="17"/>
      <c r="C75" s="17"/>
      <c r="D75" s="17"/>
      <c r="E75" s="17"/>
      <c r="F75" s="29"/>
      <c r="G75" s="29"/>
      <c r="H75" s="29"/>
      <c r="I75" s="29"/>
      <c r="J75" s="29"/>
      <c r="K75" s="17"/>
      <c r="L75" s="17"/>
      <c r="M75" s="17"/>
      <c r="N75" s="17"/>
      <c r="O75" s="17"/>
      <c r="P75" s="17"/>
      <c r="Q75" s="17"/>
      <c r="R75" s="17"/>
      <c r="S75" s="17"/>
    </row>
    <row r="76" spans="1:19">
      <c r="A76" s="17"/>
      <c r="B76" s="17"/>
      <c r="C76" s="17"/>
      <c r="D76" s="17"/>
      <c r="E76" s="17"/>
      <c r="F76" s="29"/>
      <c r="G76" s="29"/>
      <c r="H76" s="29"/>
      <c r="I76" s="29"/>
      <c r="J76" s="29"/>
      <c r="K76" s="17"/>
      <c r="L76" s="17"/>
      <c r="M76" s="17"/>
      <c r="N76" s="17"/>
      <c r="O76" s="17"/>
      <c r="P76" s="17"/>
      <c r="Q76" s="17"/>
      <c r="R76" s="17"/>
      <c r="S76" s="17"/>
    </row>
    <row r="77" spans="1:19">
      <c r="A77" s="17"/>
      <c r="B77" s="17"/>
      <c r="C77" s="17"/>
      <c r="D77" s="17"/>
      <c r="E77" s="17"/>
      <c r="F77" s="29"/>
      <c r="G77" s="29"/>
      <c r="H77" s="29"/>
      <c r="I77" s="29"/>
      <c r="J77" s="29"/>
      <c r="K77" s="17"/>
      <c r="L77" s="17"/>
      <c r="M77" s="17"/>
      <c r="N77" s="17"/>
      <c r="O77" s="17"/>
      <c r="P77" s="17"/>
      <c r="Q77" s="17"/>
      <c r="R77" s="17"/>
      <c r="S77" s="17"/>
    </row>
    <row r="78" spans="1:19">
      <c r="A78" s="17"/>
      <c r="B78" s="17"/>
      <c r="C78" s="17"/>
      <c r="D78" s="17"/>
      <c r="E78" s="17"/>
      <c r="F78" s="29"/>
      <c r="G78" s="29"/>
      <c r="H78" s="29"/>
      <c r="I78" s="29"/>
      <c r="J78" s="29"/>
      <c r="K78" s="17"/>
      <c r="L78" s="17"/>
      <c r="M78" s="17"/>
      <c r="N78" s="17"/>
      <c r="O78" s="17"/>
      <c r="P78" s="17"/>
      <c r="Q78" s="17"/>
      <c r="R78" s="17"/>
      <c r="S78" s="17"/>
    </row>
    <row r="79" spans="1:19">
      <c r="A79" s="17"/>
      <c r="B79" s="17"/>
      <c r="C79" s="17"/>
      <c r="D79" s="17"/>
      <c r="E79" s="17"/>
      <c r="F79" s="29"/>
      <c r="G79" s="29"/>
      <c r="H79" s="29"/>
      <c r="I79" s="29"/>
      <c r="J79" s="29"/>
      <c r="K79" s="17"/>
      <c r="L79" s="17"/>
      <c r="M79" s="17"/>
      <c r="N79" s="17"/>
      <c r="O79" s="17"/>
      <c r="P79" s="17"/>
      <c r="Q79" s="17"/>
      <c r="R79" s="17"/>
      <c r="S79" s="17"/>
    </row>
    <row r="80" spans="1:19">
      <c r="A80" s="17"/>
      <c r="B80" s="17"/>
      <c r="C80" s="17"/>
      <c r="D80" s="17"/>
      <c r="E80" s="17"/>
      <c r="F80" s="29"/>
      <c r="G80" s="29"/>
      <c r="H80" s="29"/>
      <c r="I80" s="29"/>
      <c r="J80" s="29"/>
      <c r="K80" s="17"/>
      <c r="L80" s="17"/>
      <c r="M80" s="17"/>
      <c r="N80" s="17"/>
      <c r="O80" s="17"/>
      <c r="P80" s="17"/>
      <c r="Q80" s="17"/>
      <c r="R80" s="17"/>
      <c r="S80" s="17"/>
    </row>
    <row r="81" spans="1:19">
      <c r="A81" s="17"/>
      <c r="B81" s="17"/>
      <c r="C81" s="17"/>
      <c r="D81" s="17"/>
      <c r="E81" s="17"/>
      <c r="F81" s="29"/>
      <c r="G81" s="29"/>
      <c r="H81" s="29"/>
      <c r="I81" s="29"/>
      <c r="J81" s="29"/>
      <c r="K81" s="17"/>
      <c r="L81" s="17"/>
      <c r="M81" s="17"/>
      <c r="N81" s="17"/>
      <c r="O81" s="17"/>
      <c r="P81" s="17"/>
      <c r="Q81" s="17"/>
      <c r="R81" s="17"/>
      <c r="S81" s="17"/>
    </row>
    <row r="82" spans="1:19">
      <c r="A82" s="17"/>
      <c r="B82" s="17"/>
      <c r="C82" s="17"/>
      <c r="D82" s="17"/>
      <c r="E82" s="17"/>
      <c r="F82" s="29"/>
      <c r="G82" s="29"/>
      <c r="H82" s="29"/>
      <c r="I82" s="29"/>
      <c r="J82" s="29"/>
      <c r="K82" s="17"/>
      <c r="L82" s="17"/>
      <c r="M82" s="17"/>
      <c r="N82" s="17"/>
      <c r="O82" s="17"/>
      <c r="P82" s="17"/>
      <c r="Q82" s="17"/>
      <c r="R82" s="17"/>
      <c r="S82" s="17"/>
    </row>
    <row r="83" spans="1:19">
      <c r="A83" s="17"/>
      <c r="B83" s="17"/>
      <c r="C83" s="17"/>
      <c r="D83" s="17"/>
      <c r="E83" s="17"/>
      <c r="F83" s="29"/>
      <c r="G83" s="29"/>
      <c r="H83" s="29"/>
      <c r="I83" s="29"/>
      <c r="J83" s="29"/>
      <c r="K83" s="17"/>
      <c r="L83" s="17"/>
      <c r="M83" s="17"/>
      <c r="N83" s="17"/>
      <c r="O83" s="17"/>
      <c r="P83" s="17"/>
      <c r="Q83" s="17"/>
      <c r="R83" s="17"/>
      <c r="S83" s="17"/>
    </row>
    <row r="84" spans="1:19">
      <c r="A84" s="17"/>
      <c r="B84" s="17"/>
      <c r="C84" s="17"/>
      <c r="D84" s="17"/>
      <c r="E84" s="17"/>
      <c r="F84" s="29"/>
      <c r="G84" s="29"/>
      <c r="H84" s="29"/>
      <c r="I84" s="29"/>
      <c r="J84" s="29"/>
      <c r="K84" s="17"/>
      <c r="L84" s="17"/>
      <c r="M84" s="17"/>
      <c r="N84" s="17"/>
      <c r="O84" s="17"/>
      <c r="P84" s="17"/>
      <c r="Q84" s="17"/>
      <c r="R84" s="17"/>
      <c r="S84" s="17"/>
    </row>
    <row r="85" spans="1:19">
      <c r="A85" s="17"/>
      <c r="B85" s="17"/>
      <c r="C85" s="17"/>
      <c r="D85" s="17"/>
      <c r="E85" s="17"/>
      <c r="F85" s="29"/>
      <c r="G85" s="29"/>
      <c r="H85" s="29"/>
      <c r="I85" s="29"/>
      <c r="J85" s="29"/>
      <c r="K85" s="17"/>
      <c r="L85" s="17"/>
      <c r="M85" s="17"/>
      <c r="N85" s="17"/>
      <c r="O85" s="17"/>
      <c r="P85" s="17"/>
      <c r="Q85" s="17"/>
      <c r="R85" s="17"/>
      <c r="S85" s="17"/>
    </row>
    <row r="86" spans="1:19">
      <c r="A86" s="17"/>
      <c r="B86" s="17"/>
      <c r="C86" s="17"/>
      <c r="D86" s="17"/>
      <c r="E86" s="17"/>
      <c r="F86" s="29"/>
      <c r="G86" s="29"/>
      <c r="H86" s="29"/>
      <c r="I86" s="29"/>
      <c r="J86" s="29"/>
      <c r="K86" s="17"/>
      <c r="L86" s="17"/>
      <c r="M86" s="17"/>
      <c r="N86" s="17"/>
      <c r="O86" s="17"/>
      <c r="P86" s="17"/>
      <c r="Q86" s="17"/>
      <c r="R86" s="17"/>
      <c r="S86" s="17"/>
    </row>
    <row r="87" spans="1:19">
      <c r="A87" s="17"/>
      <c r="B87" s="17"/>
      <c r="C87" s="17"/>
      <c r="D87" s="17"/>
      <c r="E87" s="17"/>
      <c r="F87" s="29"/>
      <c r="G87" s="29"/>
      <c r="H87" s="29"/>
      <c r="I87" s="29"/>
      <c r="J87" s="29"/>
      <c r="K87" s="17"/>
      <c r="L87" s="17"/>
      <c r="M87" s="17"/>
      <c r="N87" s="17"/>
      <c r="O87" s="17"/>
      <c r="P87" s="17"/>
      <c r="Q87" s="17"/>
      <c r="R87" s="17"/>
      <c r="S87" s="17"/>
    </row>
    <row r="88" spans="1:19">
      <c r="A88" s="17"/>
      <c r="B88" s="17"/>
      <c r="C88" s="17"/>
      <c r="D88" s="17"/>
      <c r="E88" s="17"/>
      <c r="F88" s="29"/>
      <c r="G88" s="29"/>
      <c r="H88" s="29"/>
      <c r="I88" s="29"/>
      <c r="J88" s="29"/>
      <c r="K88" s="17"/>
      <c r="L88" s="17"/>
      <c r="M88" s="17"/>
      <c r="N88" s="17"/>
      <c r="O88" s="17"/>
      <c r="P88" s="17"/>
      <c r="Q88" s="17"/>
      <c r="R88" s="17"/>
      <c r="S88" s="17"/>
    </row>
    <row r="89" spans="1:19">
      <c r="A89" s="17"/>
      <c r="B89" s="17"/>
      <c r="C89" s="17"/>
      <c r="D89" s="17"/>
      <c r="E89" s="17"/>
      <c r="F89" s="29"/>
      <c r="G89" s="29"/>
      <c r="H89" s="29"/>
      <c r="I89" s="29"/>
      <c r="J89" s="29"/>
      <c r="K89" s="17"/>
      <c r="L89" s="17"/>
      <c r="M89" s="17"/>
      <c r="N89" s="17"/>
      <c r="O89" s="17"/>
      <c r="P89" s="17"/>
      <c r="Q89" s="17"/>
      <c r="R89" s="17"/>
      <c r="S89" s="17"/>
    </row>
    <row r="90" spans="1:19">
      <c r="A90" s="17"/>
      <c r="B90" s="17"/>
      <c r="C90" s="17"/>
      <c r="D90" s="17"/>
      <c r="E90" s="17"/>
      <c r="F90" s="29"/>
      <c r="G90" s="29"/>
      <c r="H90" s="29"/>
      <c r="I90" s="29"/>
      <c r="J90" s="29"/>
      <c r="K90" s="17"/>
      <c r="L90" s="17"/>
      <c r="M90" s="17"/>
      <c r="N90" s="17"/>
      <c r="O90" s="17"/>
      <c r="P90" s="17"/>
      <c r="Q90" s="17"/>
      <c r="R90" s="17"/>
      <c r="S90" s="17"/>
    </row>
    <row r="91" spans="1:19">
      <c r="A91" s="17"/>
      <c r="B91" s="17"/>
      <c r="C91" s="17"/>
      <c r="D91" s="17"/>
      <c r="E91" s="17"/>
      <c r="F91" s="29"/>
      <c r="G91" s="29"/>
      <c r="H91" s="29"/>
      <c r="I91" s="29"/>
      <c r="J91" s="29"/>
      <c r="K91" s="17"/>
      <c r="L91" s="17"/>
      <c r="M91" s="17"/>
      <c r="N91" s="17"/>
      <c r="O91" s="17"/>
      <c r="P91" s="17"/>
      <c r="Q91" s="17"/>
      <c r="R91" s="17"/>
      <c r="S91" s="17"/>
    </row>
    <row r="92" spans="1:19">
      <c r="A92" s="17"/>
      <c r="B92" s="17"/>
      <c r="C92" s="17"/>
      <c r="D92" s="17"/>
      <c r="E92" s="17"/>
      <c r="F92" s="29"/>
      <c r="G92" s="29"/>
      <c r="H92" s="29"/>
      <c r="I92" s="29"/>
      <c r="J92" s="29"/>
      <c r="K92" s="17"/>
      <c r="L92" s="17"/>
      <c r="M92" s="17"/>
      <c r="N92" s="17"/>
      <c r="O92" s="17"/>
      <c r="P92" s="17"/>
      <c r="Q92" s="17"/>
      <c r="R92" s="17"/>
      <c r="S92" s="17"/>
    </row>
    <row r="93" spans="1:19">
      <c r="A93" s="17"/>
      <c r="B93" s="17"/>
      <c r="C93" s="17"/>
      <c r="D93" s="17"/>
      <c r="E93" s="17"/>
      <c r="F93" s="29"/>
      <c r="G93" s="29"/>
      <c r="H93" s="29"/>
      <c r="I93" s="29"/>
      <c r="J93" s="29"/>
      <c r="K93" s="17"/>
      <c r="L93" s="17"/>
      <c r="M93" s="17"/>
      <c r="N93" s="17"/>
      <c r="O93" s="17"/>
      <c r="P93" s="17"/>
      <c r="Q93" s="17"/>
      <c r="R93" s="17"/>
      <c r="S93" s="17"/>
    </row>
    <row r="94" spans="1:19">
      <c r="A94" s="17"/>
      <c r="B94" s="17"/>
      <c r="C94" s="17"/>
      <c r="D94" s="17"/>
      <c r="E94" s="17"/>
      <c r="F94" s="29"/>
      <c r="G94" s="29"/>
      <c r="H94" s="29"/>
      <c r="I94" s="29"/>
      <c r="J94" s="29"/>
      <c r="K94" s="17"/>
      <c r="L94" s="17"/>
      <c r="M94" s="17"/>
      <c r="N94" s="17"/>
      <c r="O94" s="17"/>
      <c r="P94" s="17"/>
      <c r="Q94" s="17"/>
      <c r="R94" s="17"/>
      <c r="S94" s="17"/>
    </row>
    <row r="95" spans="1:19">
      <c r="A95" s="17"/>
      <c r="B95" s="17"/>
      <c r="C95" s="17"/>
      <c r="D95" s="17"/>
      <c r="E95" s="17"/>
      <c r="F95" s="29"/>
      <c r="G95" s="29"/>
      <c r="H95" s="29"/>
      <c r="I95" s="29"/>
      <c r="J95" s="29"/>
      <c r="K95" s="17"/>
      <c r="L95" s="17"/>
      <c r="M95" s="17"/>
      <c r="N95" s="17"/>
      <c r="O95" s="17"/>
      <c r="P95" s="17"/>
      <c r="Q95" s="17"/>
      <c r="R95" s="17"/>
      <c r="S95" s="17"/>
    </row>
    <row r="96" spans="1:19">
      <c r="A96" s="17"/>
      <c r="B96" s="17"/>
      <c r="C96" s="17"/>
      <c r="D96" s="17"/>
      <c r="E96" s="17"/>
      <c r="F96" s="29"/>
      <c r="G96" s="29"/>
      <c r="H96" s="29"/>
      <c r="I96" s="29"/>
      <c r="J96" s="29"/>
      <c r="K96" s="17"/>
      <c r="L96" s="17"/>
      <c r="M96" s="17"/>
      <c r="N96" s="17"/>
      <c r="O96" s="17"/>
      <c r="P96" s="17"/>
      <c r="Q96" s="17"/>
      <c r="R96" s="17"/>
      <c r="S96" s="17"/>
    </row>
    <row r="97" spans="1:19">
      <c r="A97" s="17"/>
      <c r="B97" s="17"/>
      <c r="C97" s="17"/>
      <c r="D97" s="17"/>
      <c r="E97" s="17"/>
      <c r="F97" s="29"/>
      <c r="G97" s="29"/>
      <c r="H97" s="29"/>
      <c r="I97" s="29"/>
      <c r="J97" s="29"/>
      <c r="K97" s="17"/>
      <c r="L97" s="17"/>
      <c r="M97" s="17"/>
      <c r="N97" s="17"/>
      <c r="O97" s="17"/>
      <c r="P97" s="17"/>
      <c r="Q97" s="17"/>
      <c r="R97" s="17"/>
      <c r="S97" s="17"/>
    </row>
    <row r="98" spans="1:19">
      <c r="A98" s="17"/>
      <c r="B98" s="17"/>
      <c r="C98" s="17"/>
      <c r="D98" s="17"/>
      <c r="E98" s="17"/>
      <c r="F98" s="29"/>
      <c r="G98" s="29"/>
      <c r="H98" s="29"/>
      <c r="I98" s="29"/>
      <c r="J98" s="29"/>
      <c r="K98" s="17"/>
      <c r="L98" s="17"/>
      <c r="M98" s="17"/>
      <c r="N98" s="17"/>
      <c r="O98" s="17"/>
      <c r="P98" s="17"/>
      <c r="Q98" s="17"/>
      <c r="R98" s="17"/>
      <c r="S98" s="17"/>
    </row>
    <row r="99" spans="1:19">
      <c r="A99" s="17"/>
      <c r="B99" s="17"/>
      <c r="C99" s="17"/>
      <c r="D99" s="17"/>
      <c r="E99" s="17"/>
      <c r="F99" s="29"/>
      <c r="G99" s="29"/>
      <c r="H99" s="29"/>
      <c r="I99" s="29"/>
      <c r="J99" s="29"/>
      <c r="K99" s="17"/>
      <c r="L99" s="17"/>
      <c r="M99" s="17"/>
      <c r="N99" s="17"/>
      <c r="O99" s="17"/>
      <c r="P99" s="17"/>
      <c r="Q99" s="17"/>
      <c r="R99" s="17"/>
      <c r="S99" s="17"/>
    </row>
  </sheetData>
  <mergeCells count="5">
    <mergeCell ref="A1:S1"/>
    <mergeCell ref="A2:S2"/>
    <mergeCell ref="M3:Q3"/>
    <mergeCell ref="M4:Q4"/>
    <mergeCell ref="M5:Q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zoomScale="125" zoomScaleNormal="100" workbookViewId="0">
      <selection sqref="A1:F1"/>
    </sheetView>
  </sheetViews>
  <sheetFormatPr baseColWidth="10" defaultColWidth="8.6640625" defaultRowHeight="15"/>
  <cols>
    <col min="1" max="1" width="22" customWidth="1"/>
    <col min="2" max="2" width="16" customWidth="1"/>
    <col min="3" max="3" width="24" customWidth="1"/>
    <col min="4" max="5" width="14" customWidth="1"/>
    <col min="6" max="6" width="18" customWidth="1"/>
  </cols>
  <sheetData>
    <row r="1" spans="1:6" ht="16">
      <c r="A1" s="1" t="s">
        <v>114</v>
      </c>
      <c r="B1" s="1"/>
      <c r="C1" s="1"/>
      <c r="D1" s="1"/>
      <c r="E1" s="1"/>
      <c r="F1" s="1"/>
    </row>
    <row r="3" spans="1:6" ht="33.75" customHeight="1">
      <c r="A3" s="11" t="s">
        <v>115</v>
      </c>
      <c r="B3" s="11" t="s">
        <v>116</v>
      </c>
      <c r="C3" s="12" t="s">
        <v>117</v>
      </c>
      <c r="D3" s="11" t="s">
        <v>118</v>
      </c>
      <c r="E3" s="11" t="s">
        <v>119</v>
      </c>
      <c r="F3" s="11" t="s">
        <v>120</v>
      </c>
    </row>
    <row r="4" spans="1:6">
      <c r="A4" s="32" t="s">
        <v>121</v>
      </c>
      <c r="B4" s="32" t="s">
        <v>122</v>
      </c>
      <c r="C4" s="33" t="s">
        <v>123</v>
      </c>
      <c r="D4" s="34"/>
      <c r="E4" s="34"/>
      <c r="F4" s="34"/>
    </row>
    <row r="5" spans="1:6">
      <c r="A5" s="33" t="s">
        <v>124</v>
      </c>
      <c r="B5" s="32" t="s">
        <v>122</v>
      </c>
      <c r="C5" s="33" t="s">
        <v>125</v>
      </c>
      <c r="D5" s="34"/>
      <c r="E5" s="34"/>
      <c r="F5" s="34"/>
    </row>
    <row r="6" spans="1:6">
      <c r="A6" s="33" t="s">
        <v>126</v>
      </c>
      <c r="B6" s="32" t="s">
        <v>122</v>
      </c>
      <c r="C6" s="33" t="s">
        <v>127</v>
      </c>
      <c r="D6" s="34"/>
      <c r="E6" s="34"/>
      <c r="F6" s="34"/>
    </row>
    <row r="7" spans="1:6">
      <c r="A7" s="33" t="s">
        <v>128</v>
      </c>
      <c r="B7" s="32" t="s">
        <v>122</v>
      </c>
      <c r="C7" s="33" t="s">
        <v>129</v>
      </c>
      <c r="D7" s="34"/>
      <c r="E7" s="34"/>
      <c r="F7" s="34"/>
    </row>
    <row r="8" spans="1:6">
      <c r="A8" s="33" t="s">
        <v>130</v>
      </c>
      <c r="B8" s="32" t="s">
        <v>131</v>
      </c>
      <c r="C8" s="32" t="s">
        <v>131</v>
      </c>
      <c r="D8" s="34"/>
      <c r="E8" s="34"/>
      <c r="F8" s="34"/>
    </row>
    <row r="10" spans="1:6">
      <c r="A10" s="3" t="s">
        <v>132</v>
      </c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</sheetData>
  <mergeCells count="2">
    <mergeCell ref="A1:F1"/>
    <mergeCell ref="A10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说明与指标对照</vt:lpstr>
      <vt:lpstr>参与者记录</vt:lpstr>
      <vt:lpstr>同步记录</vt:lpstr>
      <vt:lpstr>分段记录(A_B核心)</vt:lpstr>
      <vt:lpstr>迭代收敛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Mildred Che</cp:lastModifiedBy>
  <cp:revision>0</cp:revision>
  <dcterms:created xsi:type="dcterms:W3CDTF">2026-10-01T14:38:07Z</dcterms:created>
  <dcterms:modified xsi:type="dcterms:W3CDTF">2026-10-01T14:50:50Z</dcterms:modified>
  <dc:language>en-US</dc:language>
</cp:coreProperties>
</file>